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bookViews>
    <workbookView xWindow="0" yWindow="0" windowWidth="19200" windowHeight="1146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8" i="1" l="1"/>
  <c r="N162" i="1"/>
  <c r="N146" i="1"/>
  <c r="N130" i="1"/>
  <c r="N114" i="1"/>
  <c r="N98" i="1"/>
  <c r="N82" i="1"/>
  <c r="N66" i="1"/>
  <c r="N50" i="1"/>
  <c r="N2" i="1"/>
  <c r="N34" i="1"/>
  <c r="B189" i="1"/>
  <c r="C189" i="1" s="1"/>
  <c r="D189" i="1" s="1"/>
  <c r="E189" i="1" s="1"/>
  <c r="F189" i="1" s="1"/>
  <c r="G189" i="1" s="1"/>
  <c r="H189" i="1" s="1"/>
  <c r="I189" i="1" s="1"/>
  <c r="J189" i="1" s="1"/>
  <c r="K189" i="1" s="1"/>
  <c r="L189" i="1" s="1"/>
  <c r="M189" i="1" s="1"/>
  <c r="A189" i="1"/>
  <c r="B188" i="1"/>
  <c r="C188" i="1" s="1"/>
  <c r="D188" i="1" s="1"/>
  <c r="E188" i="1" s="1"/>
  <c r="F188" i="1" s="1"/>
  <c r="G188" i="1" s="1"/>
  <c r="H188" i="1" s="1"/>
  <c r="I188" i="1" s="1"/>
  <c r="J188" i="1" s="1"/>
  <c r="K188" i="1" s="1"/>
  <c r="L188" i="1" s="1"/>
  <c r="M188" i="1" s="1"/>
  <c r="A188" i="1"/>
  <c r="A187" i="1"/>
  <c r="B187" i="1" s="1"/>
  <c r="C187" i="1" s="1"/>
  <c r="D187" i="1" s="1"/>
  <c r="E187" i="1" s="1"/>
  <c r="F187" i="1" s="1"/>
  <c r="G187" i="1" s="1"/>
  <c r="H187" i="1" s="1"/>
  <c r="I187" i="1" s="1"/>
  <c r="J187" i="1" s="1"/>
  <c r="K187" i="1" s="1"/>
  <c r="L187" i="1" s="1"/>
  <c r="M187" i="1" s="1"/>
  <c r="A186" i="1"/>
  <c r="B186" i="1" s="1"/>
  <c r="C186" i="1" s="1"/>
  <c r="D186" i="1" s="1"/>
  <c r="E186" i="1" s="1"/>
  <c r="F186" i="1" s="1"/>
  <c r="G186" i="1" s="1"/>
  <c r="H186" i="1" s="1"/>
  <c r="I186" i="1" s="1"/>
  <c r="J186" i="1" s="1"/>
  <c r="K186" i="1" s="1"/>
  <c r="L186" i="1" s="1"/>
  <c r="M186" i="1" s="1"/>
  <c r="A185" i="1"/>
  <c r="B185" i="1" s="1"/>
  <c r="C185" i="1" s="1"/>
  <c r="D185" i="1" s="1"/>
  <c r="E185" i="1" s="1"/>
  <c r="F185" i="1" s="1"/>
  <c r="G185" i="1" s="1"/>
  <c r="H185" i="1" s="1"/>
  <c r="I185" i="1" s="1"/>
  <c r="J185" i="1" s="1"/>
  <c r="K185" i="1" s="1"/>
  <c r="L185" i="1" s="1"/>
  <c r="M185" i="1" s="1"/>
  <c r="C184" i="1"/>
  <c r="D184" i="1" s="1"/>
  <c r="E184" i="1" s="1"/>
  <c r="F184" i="1" s="1"/>
  <c r="G184" i="1" s="1"/>
  <c r="H184" i="1" s="1"/>
  <c r="I184" i="1" s="1"/>
  <c r="J184" i="1" s="1"/>
  <c r="K184" i="1" s="1"/>
  <c r="L184" i="1" s="1"/>
  <c r="M184" i="1" s="1"/>
  <c r="B184" i="1"/>
  <c r="A184" i="1"/>
  <c r="A183" i="1"/>
  <c r="B183" i="1" s="1"/>
  <c r="C183" i="1" s="1"/>
  <c r="D183" i="1" s="1"/>
  <c r="E183" i="1" s="1"/>
  <c r="F183" i="1" s="1"/>
  <c r="G183" i="1" s="1"/>
  <c r="H183" i="1" s="1"/>
  <c r="I183" i="1" s="1"/>
  <c r="J183" i="1" s="1"/>
  <c r="K183" i="1" s="1"/>
  <c r="L183" i="1" s="1"/>
  <c r="M183" i="1" s="1"/>
  <c r="B182" i="1"/>
  <c r="C182" i="1" s="1"/>
  <c r="D182" i="1" s="1"/>
  <c r="E182" i="1" s="1"/>
  <c r="F182" i="1" s="1"/>
  <c r="G182" i="1" s="1"/>
  <c r="H182" i="1" s="1"/>
  <c r="I182" i="1" s="1"/>
  <c r="J182" i="1" s="1"/>
  <c r="K182" i="1" s="1"/>
  <c r="L182" i="1" s="1"/>
  <c r="M182" i="1" s="1"/>
  <c r="A182" i="1"/>
  <c r="B181" i="1"/>
  <c r="C181" i="1" s="1"/>
  <c r="D181" i="1" s="1"/>
  <c r="E181" i="1" s="1"/>
  <c r="F181" i="1" s="1"/>
  <c r="G181" i="1" s="1"/>
  <c r="H181" i="1" s="1"/>
  <c r="I181" i="1" s="1"/>
  <c r="J181" i="1" s="1"/>
  <c r="K181" i="1" s="1"/>
  <c r="L181" i="1" s="1"/>
  <c r="M181" i="1" s="1"/>
  <c r="A181" i="1"/>
  <c r="B180" i="1"/>
  <c r="C180" i="1" s="1"/>
  <c r="D180" i="1" s="1"/>
  <c r="E180" i="1" s="1"/>
  <c r="F180" i="1" s="1"/>
  <c r="G180" i="1" s="1"/>
  <c r="H180" i="1" s="1"/>
  <c r="I180" i="1" s="1"/>
  <c r="J180" i="1" s="1"/>
  <c r="K180" i="1" s="1"/>
  <c r="L180" i="1" s="1"/>
  <c r="M180" i="1" s="1"/>
  <c r="A180" i="1"/>
  <c r="A179" i="1"/>
  <c r="B179" i="1" s="1"/>
  <c r="C179" i="1" s="1"/>
  <c r="D179" i="1" s="1"/>
  <c r="E179" i="1" s="1"/>
  <c r="F179" i="1" s="1"/>
  <c r="G179" i="1" s="1"/>
  <c r="H179" i="1" s="1"/>
  <c r="I179" i="1" s="1"/>
  <c r="J179" i="1" s="1"/>
  <c r="K179" i="1" s="1"/>
  <c r="L179" i="1" s="1"/>
  <c r="M179" i="1" s="1"/>
  <c r="A178" i="1"/>
  <c r="B178" i="1" s="1"/>
  <c r="C178" i="1" s="1"/>
  <c r="D178" i="1" s="1"/>
  <c r="E178" i="1" s="1"/>
  <c r="F178" i="1" s="1"/>
  <c r="G178" i="1" s="1"/>
  <c r="H178" i="1" s="1"/>
  <c r="I178" i="1" s="1"/>
  <c r="J178" i="1" s="1"/>
  <c r="K178" i="1" s="1"/>
  <c r="L178" i="1" s="1"/>
  <c r="M178" i="1" s="1"/>
  <c r="A173" i="1"/>
  <c r="B173" i="1" s="1"/>
  <c r="C173" i="1" s="1"/>
  <c r="D173" i="1" s="1"/>
  <c r="E173" i="1" s="1"/>
  <c r="F173" i="1" s="1"/>
  <c r="G173" i="1" s="1"/>
  <c r="H173" i="1" s="1"/>
  <c r="I173" i="1" s="1"/>
  <c r="J173" i="1" s="1"/>
  <c r="K173" i="1" s="1"/>
  <c r="L173" i="1" s="1"/>
  <c r="M173" i="1" s="1"/>
  <c r="A172" i="1"/>
  <c r="B172" i="1" s="1"/>
  <c r="C172" i="1" s="1"/>
  <c r="D172" i="1" s="1"/>
  <c r="E172" i="1" s="1"/>
  <c r="F172" i="1" s="1"/>
  <c r="G172" i="1" s="1"/>
  <c r="H172" i="1" s="1"/>
  <c r="I172" i="1" s="1"/>
  <c r="J172" i="1" s="1"/>
  <c r="K172" i="1" s="1"/>
  <c r="L172" i="1" s="1"/>
  <c r="M172" i="1" s="1"/>
  <c r="A171" i="1"/>
  <c r="B171" i="1" s="1"/>
  <c r="C171" i="1" s="1"/>
  <c r="D171" i="1" s="1"/>
  <c r="E171" i="1" s="1"/>
  <c r="F171" i="1" s="1"/>
  <c r="G171" i="1" s="1"/>
  <c r="H171" i="1" s="1"/>
  <c r="I171" i="1" s="1"/>
  <c r="J171" i="1" s="1"/>
  <c r="K171" i="1" s="1"/>
  <c r="L171" i="1" s="1"/>
  <c r="M171" i="1" s="1"/>
  <c r="C170" i="1"/>
  <c r="D170" i="1" s="1"/>
  <c r="E170" i="1" s="1"/>
  <c r="F170" i="1" s="1"/>
  <c r="G170" i="1" s="1"/>
  <c r="H170" i="1" s="1"/>
  <c r="I170" i="1" s="1"/>
  <c r="J170" i="1" s="1"/>
  <c r="K170" i="1" s="1"/>
  <c r="L170" i="1" s="1"/>
  <c r="M170" i="1" s="1"/>
  <c r="B170" i="1"/>
  <c r="A170" i="1"/>
  <c r="A169" i="1"/>
  <c r="B169" i="1" s="1"/>
  <c r="C169" i="1" s="1"/>
  <c r="D169" i="1" s="1"/>
  <c r="E169" i="1" s="1"/>
  <c r="F169" i="1" s="1"/>
  <c r="G169" i="1" s="1"/>
  <c r="H169" i="1" s="1"/>
  <c r="I169" i="1" s="1"/>
  <c r="J169" i="1" s="1"/>
  <c r="K169" i="1" s="1"/>
  <c r="L169" i="1" s="1"/>
  <c r="M169" i="1" s="1"/>
  <c r="A168" i="1"/>
  <c r="B168" i="1" s="1"/>
  <c r="C168" i="1" s="1"/>
  <c r="D168" i="1" s="1"/>
  <c r="E168" i="1" s="1"/>
  <c r="F168" i="1" s="1"/>
  <c r="G168" i="1" s="1"/>
  <c r="H168" i="1" s="1"/>
  <c r="I168" i="1" s="1"/>
  <c r="J168" i="1" s="1"/>
  <c r="K168" i="1" s="1"/>
  <c r="L168" i="1" s="1"/>
  <c r="M168" i="1" s="1"/>
  <c r="B167" i="1"/>
  <c r="C167" i="1" s="1"/>
  <c r="D167" i="1" s="1"/>
  <c r="E167" i="1" s="1"/>
  <c r="F167" i="1" s="1"/>
  <c r="G167" i="1" s="1"/>
  <c r="H167" i="1" s="1"/>
  <c r="I167" i="1" s="1"/>
  <c r="J167" i="1" s="1"/>
  <c r="K167" i="1" s="1"/>
  <c r="L167" i="1" s="1"/>
  <c r="M167" i="1" s="1"/>
  <c r="A167" i="1"/>
  <c r="B166" i="1"/>
  <c r="C166" i="1" s="1"/>
  <c r="D166" i="1" s="1"/>
  <c r="E166" i="1" s="1"/>
  <c r="F166" i="1" s="1"/>
  <c r="G166" i="1" s="1"/>
  <c r="H166" i="1" s="1"/>
  <c r="I166" i="1" s="1"/>
  <c r="J166" i="1" s="1"/>
  <c r="K166" i="1" s="1"/>
  <c r="L166" i="1" s="1"/>
  <c r="M166" i="1" s="1"/>
  <c r="A166" i="1"/>
  <c r="A165" i="1"/>
  <c r="B165" i="1" s="1"/>
  <c r="C165" i="1" s="1"/>
  <c r="D165" i="1" s="1"/>
  <c r="E165" i="1" s="1"/>
  <c r="F165" i="1" s="1"/>
  <c r="G165" i="1" s="1"/>
  <c r="H165" i="1" s="1"/>
  <c r="I165" i="1" s="1"/>
  <c r="J165" i="1" s="1"/>
  <c r="K165" i="1" s="1"/>
  <c r="L165" i="1" s="1"/>
  <c r="M165" i="1" s="1"/>
  <c r="A164" i="1"/>
  <c r="B164" i="1" s="1"/>
  <c r="C164" i="1" s="1"/>
  <c r="D164" i="1" s="1"/>
  <c r="E164" i="1" s="1"/>
  <c r="F164" i="1" s="1"/>
  <c r="G164" i="1" s="1"/>
  <c r="H164" i="1" s="1"/>
  <c r="I164" i="1" s="1"/>
  <c r="J164" i="1" s="1"/>
  <c r="K164" i="1" s="1"/>
  <c r="L164" i="1" s="1"/>
  <c r="M164" i="1" s="1"/>
  <c r="A163" i="1"/>
  <c r="B163" i="1" s="1"/>
  <c r="C163" i="1" s="1"/>
  <c r="D163" i="1" s="1"/>
  <c r="E163" i="1" s="1"/>
  <c r="F163" i="1" s="1"/>
  <c r="G163" i="1" s="1"/>
  <c r="H163" i="1" s="1"/>
  <c r="I163" i="1" s="1"/>
  <c r="J163" i="1" s="1"/>
  <c r="K163" i="1" s="1"/>
  <c r="L163" i="1" s="1"/>
  <c r="M163" i="1" s="1"/>
  <c r="C162" i="1"/>
  <c r="D162" i="1" s="1"/>
  <c r="E162" i="1" s="1"/>
  <c r="F162" i="1" s="1"/>
  <c r="G162" i="1" s="1"/>
  <c r="H162" i="1" s="1"/>
  <c r="I162" i="1" s="1"/>
  <c r="J162" i="1" s="1"/>
  <c r="K162" i="1" s="1"/>
  <c r="L162" i="1" s="1"/>
  <c r="M162" i="1" s="1"/>
  <c r="M175" i="1" s="1"/>
  <c r="B162" i="1"/>
  <c r="A162" i="1"/>
  <c r="A157" i="1"/>
  <c r="B157" i="1" s="1"/>
  <c r="C157" i="1" s="1"/>
  <c r="D157" i="1" s="1"/>
  <c r="E157" i="1" s="1"/>
  <c r="F157" i="1" s="1"/>
  <c r="G157" i="1" s="1"/>
  <c r="H157" i="1" s="1"/>
  <c r="I157" i="1" s="1"/>
  <c r="J157" i="1" s="1"/>
  <c r="K157" i="1" s="1"/>
  <c r="L157" i="1" s="1"/>
  <c r="M157" i="1" s="1"/>
  <c r="B156" i="1"/>
  <c r="C156" i="1" s="1"/>
  <c r="D156" i="1" s="1"/>
  <c r="E156" i="1" s="1"/>
  <c r="F156" i="1" s="1"/>
  <c r="G156" i="1" s="1"/>
  <c r="H156" i="1" s="1"/>
  <c r="I156" i="1" s="1"/>
  <c r="J156" i="1" s="1"/>
  <c r="K156" i="1" s="1"/>
  <c r="L156" i="1" s="1"/>
  <c r="M156" i="1" s="1"/>
  <c r="A156" i="1"/>
  <c r="A155" i="1"/>
  <c r="B155" i="1" s="1"/>
  <c r="C155" i="1" s="1"/>
  <c r="D155" i="1" s="1"/>
  <c r="E155" i="1" s="1"/>
  <c r="F155" i="1" s="1"/>
  <c r="G155" i="1" s="1"/>
  <c r="H155" i="1" s="1"/>
  <c r="I155" i="1" s="1"/>
  <c r="J155" i="1" s="1"/>
  <c r="K155" i="1" s="1"/>
  <c r="L155" i="1" s="1"/>
  <c r="M155" i="1" s="1"/>
  <c r="A154" i="1"/>
  <c r="B154" i="1" s="1"/>
  <c r="C154" i="1" s="1"/>
  <c r="D154" i="1" s="1"/>
  <c r="E154" i="1" s="1"/>
  <c r="F154" i="1" s="1"/>
  <c r="G154" i="1" s="1"/>
  <c r="H154" i="1" s="1"/>
  <c r="I154" i="1" s="1"/>
  <c r="J154" i="1" s="1"/>
  <c r="K154" i="1" s="1"/>
  <c r="L154" i="1" s="1"/>
  <c r="M154" i="1" s="1"/>
  <c r="A153" i="1"/>
  <c r="B153" i="1" s="1"/>
  <c r="C153" i="1" s="1"/>
  <c r="D153" i="1" s="1"/>
  <c r="E153" i="1" s="1"/>
  <c r="F153" i="1" s="1"/>
  <c r="G153" i="1" s="1"/>
  <c r="H153" i="1" s="1"/>
  <c r="I153" i="1" s="1"/>
  <c r="J153" i="1" s="1"/>
  <c r="K153" i="1" s="1"/>
  <c r="L153" i="1" s="1"/>
  <c r="M153" i="1" s="1"/>
  <c r="A152" i="1"/>
  <c r="B152" i="1" s="1"/>
  <c r="C152" i="1" s="1"/>
  <c r="D152" i="1" s="1"/>
  <c r="E152" i="1" s="1"/>
  <c r="F152" i="1" s="1"/>
  <c r="G152" i="1" s="1"/>
  <c r="H152" i="1" s="1"/>
  <c r="I152" i="1" s="1"/>
  <c r="J152" i="1" s="1"/>
  <c r="K152" i="1" s="1"/>
  <c r="L152" i="1" s="1"/>
  <c r="M152" i="1" s="1"/>
  <c r="A151" i="1"/>
  <c r="B151" i="1" s="1"/>
  <c r="C151" i="1" s="1"/>
  <c r="D151" i="1" s="1"/>
  <c r="E151" i="1" s="1"/>
  <c r="F151" i="1" s="1"/>
  <c r="G151" i="1" s="1"/>
  <c r="H151" i="1" s="1"/>
  <c r="I151" i="1" s="1"/>
  <c r="J151" i="1" s="1"/>
  <c r="K151" i="1" s="1"/>
  <c r="L151" i="1" s="1"/>
  <c r="M151" i="1" s="1"/>
  <c r="B150" i="1"/>
  <c r="C150" i="1" s="1"/>
  <c r="D150" i="1" s="1"/>
  <c r="E150" i="1" s="1"/>
  <c r="F150" i="1" s="1"/>
  <c r="G150" i="1" s="1"/>
  <c r="H150" i="1" s="1"/>
  <c r="I150" i="1" s="1"/>
  <c r="J150" i="1" s="1"/>
  <c r="K150" i="1" s="1"/>
  <c r="L150" i="1" s="1"/>
  <c r="M150" i="1" s="1"/>
  <c r="A150" i="1"/>
  <c r="A149" i="1"/>
  <c r="B149" i="1" s="1"/>
  <c r="C149" i="1" s="1"/>
  <c r="D149" i="1" s="1"/>
  <c r="E149" i="1" s="1"/>
  <c r="F149" i="1" s="1"/>
  <c r="G149" i="1" s="1"/>
  <c r="H149" i="1" s="1"/>
  <c r="I149" i="1" s="1"/>
  <c r="J149" i="1" s="1"/>
  <c r="K149" i="1" s="1"/>
  <c r="L149" i="1" s="1"/>
  <c r="M149" i="1" s="1"/>
  <c r="B148" i="1"/>
  <c r="C148" i="1" s="1"/>
  <c r="D148" i="1" s="1"/>
  <c r="E148" i="1" s="1"/>
  <c r="F148" i="1" s="1"/>
  <c r="G148" i="1" s="1"/>
  <c r="H148" i="1" s="1"/>
  <c r="I148" i="1" s="1"/>
  <c r="J148" i="1" s="1"/>
  <c r="K148" i="1" s="1"/>
  <c r="L148" i="1" s="1"/>
  <c r="M148" i="1" s="1"/>
  <c r="A148" i="1"/>
  <c r="A147" i="1"/>
  <c r="B147" i="1" s="1"/>
  <c r="C147" i="1" s="1"/>
  <c r="D147" i="1" s="1"/>
  <c r="E147" i="1" s="1"/>
  <c r="F147" i="1" s="1"/>
  <c r="G147" i="1" s="1"/>
  <c r="H147" i="1" s="1"/>
  <c r="I147" i="1" s="1"/>
  <c r="J147" i="1" s="1"/>
  <c r="K147" i="1" s="1"/>
  <c r="L147" i="1" s="1"/>
  <c r="M147" i="1" s="1"/>
  <c r="A146" i="1"/>
  <c r="B146" i="1" s="1"/>
  <c r="C146" i="1" s="1"/>
  <c r="D146" i="1" s="1"/>
  <c r="E146" i="1" s="1"/>
  <c r="F146" i="1" s="1"/>
  <c r="G146" i="1" s="1"/>
  <c r="H146" i="1" s="1"/>
  <c r="I146" i="1" s="1"/>
  <c r="J146" i="1" s="1"/>
  <c r="K146" i="1" s="1"/>
  <c r="L146" i="1" s="1"/>
  <c r="M146" i="1" s="1"/>
  <c r="B141" i="1"/>
  <c r="C141" i="1" s="1"/>
  <c r="D141" i="1" s="1"/>
  <c r="E141" i="1" s="1"/>
  <c r="F141" i="1" s="1"/>
  <c r="G141" i="1" s="1"/>
  <c r="H141" i="1" s="1"/>
  <c r="I141" i="1" s="1"/>
  <c r="J141" i="1" s="1"/>
  <c r="K141" i="1" s="1"/>
  <c r="L141" i="1" s="1"/>
  <c r="M141" i="1" s="1"/>
  <c r="A141" i="1"/>
  <c r="A140" i="1"/>
  <c r="B140" i="1" s="1"/>
  <c r="C140" i="1" s="1"/>
  <c r="D140" i="1" s="1"/>
  <c r="E140" i="1" s="1"/>
  <c r="F140" i="1" s="1"/>
  <c r="G140" i="1" s="1"/>
  <c r="H140" i="1" s="1"/>
  <c r="I140" i="1" s="1"/>
  <c r="J140" i="1" s="1"/>
  <c r="K140" i="1" s="1"/>
  <c r="L140" i="1" s="1"/>
  <c r="M140" i="1" s="1"/>
  <c r="A139" i="1"/>
  <c r="B139" i="1" s="1"/>
  <c r="C139" i="1" s="1"/>
  <c r="D139" i="1" s="1"/>
  <c r="E139" i="1" s="1"/>
  <c r="F139" i="1" s="1"/>
  <c r="G139" i="1" s="1"/>
  <c r="H139" i="1" s="1"/>
  <c r="I139" i="1" s="1"/>
  <c r="J139" i="1" s="1"/>
  <c r="K139" i="1" s="1"/>
  <c r="L139" i="1" s="1"/>
  <c r="M139" i="1" s="1"/>
  <c r="A138" i="1"/>
  <c r="B138" i="1" s="1"/>
  <c r="C138" i="1" s="1"/>
  <c r="D138" i="1" s="1"/>
  <c r="E138" i="1" s="1"/>
  <c r="F138" i="1" s="1"/>
  <c r="G138" i="1" s="1"/>
  <c r="H138" i="1" s="1"/>
  <c r="I138" i="1" s="1"/>
  <c r="J138" i="1" s="1"/>
  <c r="K138" i="1" s="1"/>
  <c r="L138" i="1" s="1"/>
  <c r="M138" i="1" s="1"/>
  <c r="C137" i="1"/>
  <c r="D137" i="1" s="1"/>
  <c r="E137" i="1" s="1"/>
  <c r="F137" i="1" s="1"/>
  <c r="G137" i="1" s="1"/>
  <c r="H137" i="1" s="1"/>
  <c r="I137" i="1" s="1"/>
  <c r="J137" i="1" s="1"/>
  <c r="K137" i="1" s="1"/>
  <c r="L137" i="1" s="1"/>
  <c r="M137" i="1" s="1"/>
  <c r="B137" i="1"/>
  <c r="A137" i="1"/>
  <c r="A136" i="1"/>
  <c r="B136" i="1" s="1"/>
  <c r="C136" i="1" s="1"/>
  <c r="D136" i="1" s="1"/>
  <c r="E136" i="1" s="1"/>
  <c r="F136" i="1" s="1"/>
  <c r="G136" i="1" s="1"/>
  <c r="H136" i="1" s="1"/>
  <c r="I136" i="1" s="1"/>
  <c r="J136" i="1" s="1"/>
  <c r="K136" i="1" s="1"/>
  <c r="L136" i="1" s="1"/>
  <c r="M136" i="1" s="1"/>
  <c r="A135" i="1"/>
  <c r="B135" i="1" s="1"/>
  <c r="C135" i="1" s="1"/>
  <c r="D135" i="1" s="1"/>
  <c r="E135" i="1" s="1"/>
  <c r="F135" i="1" s="1"/>
  <c r="G135" i="1" s="1"/>
  <c r="H135" i="1" s="1"/>
  <c r="I135" i="1" s="1"/>
  <c r="J135" i="1" s="1"/>
  <c r="K135" i="1" s="1"/>
  <c r="L135" i="1" s="1"/>
  <c r="M135" i="1" s="1"/>
  <c r="B134" i="1"/>
  <c r="C134" i="1" s="1"/>
  <c r="D134" i="1" s="1"/>
  <c r="E134" i="1" s="1"/>
  <c r="F134" i="1" s="1"/>
  <c r="G134" i="1" s="1"/>
  <c r="H134" i="1" s="1"/>
  <c r="I134" i="1" s="1"/>
  <c r="J134" i="1" s="1"/>
  <c r="K134" i="1" s="1"/>
  <c r="L134" i="1" s="1"/>
  <c r="M134" i="1" s="1"/>
  <c r="A134" i="1"/>
  <c r="B133" i="1"/>
  <c r="C133" i="1" s="1"/>
  <c r="D133" i="1" s="1"/>
  <c r="E133" i="1" s="1"/>
  <c r="F133" i="1" s="1"/>
  <c r="G133" i="1" s="1"/>
  <c r="H133" i="1" s="1"/>
  <c r="I133" i="1" s="1"/>
  <c r="J133" i="1" s="1"/>
  <c r="K133" i="1" s="1"/>
  <c r="L133" i="1" s="1"/>
  <c r="M133" i="1" s="1"/>
  <c r="A133" i="1"/>
  <c r="A132" i="1"/>
  <c r="B132" i="1" s="1"/>
  <c r="C132" i="1" s="1"/>
  <c r="D132" i="1" s="1"/>
  <c r="E132" i="1" s="1"/>
  <c r="F132" i="1" s="1"/>
  <c r="G132" i="1" s="1"/>
  <c r="H132" i="1" s="1"/>
  <c r="I132" i="1" s="1"/>
  <c r="J132" i="1" s="1"/>
  <c r="K132" i="1" s="1"/>
  <c r="L132" i="1" s="1"/>
  <c r="M132" i="1" s="1"/>
  <c r="A131" i="1"/>
  <c r="B131" i="1" s="1"/>
  <c r="C131" i="1" s="1"/>
  <c r="D131" i="1" s="1"/>
  <c r="E131" i="1" s="1"/>
  <c r="F131" i="1" s="1"/>
  <c r="G131" i="1" s="1"/>
  <c r="H131" i="1" s="1"/>
  <c r="I131" i="1" s="1"/>
  <c r="J131" i="1" s="1"/>
  <c r="K131" i="1" s="1"/>
  <c r="L131" i="1" s="1"/>
  <c r="M131" i="1" s="1"/>
  <c r="A130" i="1"/>
  <c r="B130" i="1" s="1"/>
  <c r="C130" i="1" s="1"/>
  <c r="D130" i="1" s="1"/>
  <c r="E130" i="1" s="1"/>
  <c r="F130" i="1" s="1"/>
  <c r="G130" i="1" s="1"/>
  <c r="H130" i="1" s="1"/>
  <c r="I130" i="1" s="1"/>
  <c r="J130" i="1" s="1"/>
  <c r="K130" i="1" s="1"/>
  <c r="L130" i="1" s="1"/>
  <c r="M130" i="1" s="1"/>
  <c r="L125" i="1"/>
  <c r="K124" i="1"/>
  <c r="J123" i="1"/>
  <c r="I122" i="1"/>
  <c r="H121" i="1"/>
  <c r="G120" i="1"/>
  <c r="F119" i="1"/>
  <c r="E118" i="1"/>
  <c r="D117" i="1"/>
  <c r="C116" i="1"/>
  <c r="B115" i="1"/>
  <c r="A114" i="1"/>
  <c r="B114" i="1" s="1"/>
  <c r="C114" i="1" s="1"/>
  <c r="D114" i="1" s="1"/>
  <c r="E114" i="1" s="1"/>
  <c r="F114" i="1" s="1"/>
  <c r="G114" i="1" s="1"/>
  <c r="H114" i="1" s="1"/>
  <c r="I114" i="1" s="1"/>
  <c r="J114" i="1" s="1"/>
  <c r="K114" i="1" s="1"/>
  <c r="L114" i="1" s="1"/>
  <c r="M114" i="1" s="1"/>
  <c r="B125" i="1"/>
  <c r="C125" i="1" s="1"/>
  <c r="D125" i="1" s="1"/>
  <c r="E125" i="1" s="1"/>
  <c r="F125" i="1" s="1"/>
  <c r="G125" i="1" s="1"/>
  <c r="H125" i="1" s="1"/>
  <c r="I125" i="1" s="1"/>
  <c r="J125" i="1" s="1"/>
  <c r="K125" i="1" s="1"/>
  <c r="A125" i="1"/>
  <c r="B124" i="1"/>
  <c r="C124" i="1" s="1"/>
  <c r="D124" i="1" s="1"/>
  <c r="E124" i="1" s="1"/>
  <c r="F124" i="1" s="1"/>
  <c r="G124" i="1" s="1"/>
  <c r="H124" i="1" s="1"/>
  <c r="I124" i="1" s="1"/>
  <c r="J124" i="1" s="1"/>
  <c r="A124" i="1"/>
  <c r="B123" i="1"/>
  <c r="C123" i="1" s="1"/>
  <c r="D123" i="1" s="1"/>
  <c r="E123" i="1" s="1"/>
  <c r="F123" i="1" s="1"/>
  <c r="G123" i="1" s="1"/>
  <c r="H123" i="1" s="1"/>
  <c r="I123" i="1" s="1"/>
  <c r="A123" i="1"/>
  <c r="A122" i="1"/>
  <c r="B122" i="1" s="1"/>
  <c r="C122" i="1" s="1"/>
  <c r="D122" i="1" s="1"/>
  <c r="E122" i="1" s="1"/>
  <c r="F122" i="1" s="1"/>
  <c r="G122" i="1" s="1"/>
  <c r="H122" i="1" s="1"/>
  <c r="J122" i="1" s="1"/>
  <c r="K122" i="1" s="1"/>
  <c r="L122" i="1" s="1"/>
  <c r="M122" i="1" s="1"/>
  <c r="A121" i="1"/>
  <c r="B121" i="1" s="1"/>
  <c r="C121" i="1" s="1"/>
  <c r="D121" i="1" s="1"/>
  <c r="E121" i="1" s="1"/>
  <c r="F121" i="1" s="1"/>
  <c r="G121" i="1" s="1"/>
  <c r="A120" i="1"/>
  <c r="B120" i="1" s="1"/>
  <c r="C120" i="1" s="1"/>
  <c r="D120" i="1" s="1"/>
  <c r="E120" i="1" s="1"/>
  <c r="F120" i="1" s="1"/>
  <c r="A119" i="1"/>
  <c r="B119" i="1" s="1"/>
  <c r="C119" i="1" s="1"/>
  <c r="D119" i="1" s="1"/>
  <c r="E119" i="1" s="1"/>
  <c r="G119" i="1" s="1"/>
  <c r="H119" i="1" s="1"/>
  <c r="I119" i="1" s="1"/>
  <c r="J119" i="1" s="1"/>
  <c r="K119" i="1" s="1"/>
  <c r="L119" i="1" s="1"/>
  <c r="M119" i="1" s="1"/>
  <c r="A118" i="1"/>
  <c r="B118" i="1" s="1"/>
  <c r="C118" i="1" s="1"/>
  <c r="D118" i="1" s="1"/>
  <c r="B117" i="1"/>
  <c r="C117" i="1" s="1"/>
  <c r="E117" i="1" s="1"/>
  <c r="F117" i="1" s="1"/>
  <c r="G117" i="1" s="1"/>
  <c r="H117" i="1" s="1"/>
  <c r="I117" i="1" s="1"/>
  <c r="J117" i="1" s="1"/>
  <c r="K117" i="1" s="1"/>
  <c r="L117" i="1" s="1"/>
  <c r="M117" i="1" s="1"/>
  <c r="A117" i="1"/>
  <c r="B116" i="1"/>
  <c r="A116" i="1"/>
  <c r="C115" i="1"/>
  <c r="D115" i="1" s="1"/>
  <c r="E115" i="1" s="1"/>
  <c r="F115" i="1" s="1"/>
  <c r="G115" i="1" s="1"/>
  <c r="H115" i="1" s="1"/>
  <c r="I115" i="1" s="1"/>
  <c r="J115" i="1" s="1"/>
  <c r="K115" i="1" s="1"/>
  <c r="L115" i="1" s="1"/>
  <c r="M115" i="1" s="1"/>
  <c r="A115" i="1"/>
  <c r="A109" i="1"/>
  <c r="B109" i="1" s="1"/>
  <c r="C109" i="1" s="1"/>
  <c r="D109" i="1" s="1"/>
  <c r="E109" i="1" s="1"/>
  <c r="F109" i="1" s="1"/>
  <c r="G109" i="1" s="1"/>
  <c r="H109" i="1" s="1"/>
  <c r="I109" i="1" s="1"/>
  <c r="J109" i="1" s="1"/>
  <c r="K109" i="1" s="1"/>
  <c r="L109" i="1" s="1"/>
  <c r="M109" i="1" s="1"/>
  <c r="B108" i="1"/>
  <c r="C108" i="1" s="1"/>
  <c r="D108" i="1" s="1"/>
  <c r="E108" i="1" s="1"/>
  <c r="F108" i="1" s="1"/>
  <c r="G108" i="1" s="1"/>
  <c r="H108" i="1" s="1"/>
  <c r="I108" i="1" s="1"/>
  <c r="J108" i="1" s="1"/>
  <c r="K108" i="1" s="1"/>
  <c r="L108" i="1" s="1"/>
  <c r="M108" i="1" s="1"/>
  <c r="A108" i="1"/>
  <c r="B107" i="1"/>
  <c r="C107" i="1" s="1"/>
  <c r="D107" i="1" s="1"/>
  <c r="E107" i="1" s="1"/>
  <c r="F107" i="1" s="1"/>
  <c r="G107" i="1" s="1"/>
  <c r="H107" i="1" s="1"/>
  <c r="I107" i="1" s="1"/>
  <c r="J107" i="1" s="1"/>
  <c r="K107" i="1" s="1"/>
  <c r="L107" i="1" s="1"/>
  <c r="M107" i="1" s="1"/>
  <c r="A107" i="1"/>
  <c r="A106" i="1"/>
  <c r="B106" i="1" s="1"/>
  <c r="C106" i="1" s="1"/>
  <c r="D106" i="1" s="1"/>
  <c r="E106" i="1" s="1"/>
  <c r="F106" i="1" s="1"/>
  <c r="G106" i="1" s="1"/>
  <c r="H106" i="1" s="1"/>
  <c r="I106" i="1" s="1"/>
  <c r="J106" i="1" s="1"/>
  <c r="K106" i="1" s="1"/>
  <c r="L106" i="1" s="1"/>
  <c r="M106" i="1" s="1"/>
  <c r="A105" i="1"/>
  <c r="B105" i="1" s="1"/>
  <c r="C105" i="1" s="1"/>
  <c r="D105" i="1" s="1"/>
  <c r="E105" i="1" s="1"/>
  <c r="F105" i="1" s="1"/>
  <c r="G105" i="1" s="1"/>
  <c r="H105" i="1" s="1"/>
  <c r="I105" i="1" s="1"/>
  <c r="J105" i="1" s="1"/>
  <c r="K105" i="1" s="1"/>
  <c r="L105" i="1" s="1"/>
  <c r="M105" i="1" s="1"/>
  <c r="A104" i="1"/>
  <c r="B104" i="1" s="1"/>
  <c r="C104" i="1" s="1"/>
  <c r="D104" i="1" s="1"/>
  <c r="E104" i="1" s="1"/>
  <c r="F104" i="1" s="1"/>
  <c r="G104" i="1" s="1"/>
  <c r="H104" i="1" s="1"/>
  <c r="I104" i="1" s="1"/>
  <c r="J104" i="1" s="1"/>
  <c r="K104" i="1" s="1"/>
  <c r="L104" i="1" s="1"/>
  <c r="M104" i="1" s="1"/>
  <c r="C103" i="1"/>
  <c r="D103" i="1" s="1"/>
  <c r="E103" i="1" s="1"/>
  <c r="F103" i="1" s="1"/>
  <c r="G103" i="1" s="1"/>
  <c r="H103" i="1" s="1"/>
  <c r="I103" i="1" s="1"/>
  <c r="J103" i="1" s="1"/>
  <c r="K103" i="1" s="1"/>
  <c r="L103" i="1" s="1"/>
  <c r="M103" i="1" s="1"/>
  <c r="B103" i="1"/>
  <c r="A103" i="1"/>
  <c r="A102" i="1"/>
  <c r="B102" i="1" s="1"/>
  <c r="C102" i="1" s="1"/>
  <c r="D102" i="1" s="1"/>
  <c r="E102" i="1" s="1"/>
  <c r="F102" i="1" s="1"/>
  <c r="G102" i="1" s="1"/>
  <c r="H102" i="1" s="1"/>
  <c r="I102" i="1" s="1"/>
  <c r="J102" i="1" s="1"/>
  <c r="K102" i="1" s="1"/>
  <c r="L102" i="1" s="1"/>
  <c r="M102" i="1" s="1"/>
  <c r="A101" i="1"/>
  <c r="B101" i="1" s="1"/>
  <c r="C101" i="1" s="1"/>
  <c r="D101" i="1" s="1"/>
  <c r="E101" i="1" s="1"/>
  <c r="F101" i="1" s="1"/>
  <c r="G101" i="1" s="1"/>
  <c r="H101" i="1" s="1"/>
  <c r="I101" i="1" s="1"/>
  <c r="J101" i="1" s="1"/>
  <c r="K101" i="1" s="1"/>
  <c r="L101" i="1" s="1"/>
  <c r="M101" i="1" s="1"/>
  <c r="B100" i="1"/>
  <c r="C100" i="1" s="1"/>
  <c r="D100" i="1" s="1"/>
  <c r="E100" i="1" s="1"/>
  <c r="F100" i="1" s="1"/>
  <c r="G100" i="1" s="1"/>
  <c r="H100" i="1" s="1"/>
  <c r="I100" i="1" s="1"/>
  <c r="J100" i="1" s="1"/>
  <c r="K100" i="1" s="1"/>
  <c r="L100" i="1" s="1"/>
  <c r="M100" i="1" s="1"/>
  <c r="A100" i="1"/>
  <c r="B99" i="1"/>
  <c r="C99" i="1" s="1"/>
  <c r="D99" i="1" s="1"/>
  <c r="E99" i="1" s="1"/>
  <c r="F99" i="1" s="1"/>
  <c r="G99" i="1" s="1"/>
  <c r="H99" i="1" s="1"/>
  <c r="I99" i="1" s="1"/>
  <c r="J99" i="1" s="1"/>
  <c r="K99" i="1" s="1"/>
  <c r="L99" i="1" s="1"/>
  <c r="M99" i="1" s="1"/>
  <c r="A99" i="1"/>
  <c r="A98" i="1"/>
  <c r="B98" i="1" s="1"/>
  <c r="C98" i="1" s="1"/>
  <c r="D98" i="1" s="1"/>
  <c r="E98" i="1" s="1"/>
  <c r="F98" i="1" s="1"/>
  <c r="G98" i="1" s="1"/>
  <c r="H98" i="1" s="1"/>
  <c r="I98" i="1" s="1"/>
  <c r="J98" i="1" s="1"/>
  <c r="K98" i="1" s="1"/>
  <c r="L98" i="1" s="1"/>
  <c r="M98" i="1" s="1"/>
  <c r="B93" i="1"/>
  <c r="C93" i="1" s="1"/>
  <c r="D93" i="1" s="1"/>
  <c r="E93" i="1" s="1"/>
  <c r="F93" i="1" s="1"/>
  <c r="G93" i="1" s="1"/>
  <c r="H93" i="1" s="1"/>
  <c r="I93" i="1" s="1"/>
  <c r="J93" i="1" s="1"/>
  <c r="K93" i="1" s="1"/>
  <c r="L93" i="1" s="1"/>
  <c r="M93" i="1" s="1"/>
  <c r="A93" i="1"/>
  <c r="B92" i="1"/>
  <c r="C92" i="1" s="1"/>
  <c r="D92" i="1" s="1"/>
  <c r="E92" i="1" s="1"/>
  <c r="F92" i="1" s="1"/>
  <c r="G92" i="1" s="1"/>
  <c r="H92" i="1" s="1"/>
  <c r="I92" i="1" s="1"/>
  <c r="J92" i="1" s="1"/>
  <c r="K92" i="1" s="1"/>
  <c r="L92" i="1" s="1"/>
  <c r="M92" i="1" s="1"/>
  <c r="A92" i="1"/>
  <c r="A91" i="1"/>
  <c r="B91" i="1" s="1"/>
  <c r="C91" i="1" s="1"/>
  <c r="D91" i="1" s="1"/>
  <c r="E91" i="1" s="1"/>
  <c r="F91" i="1" s="1"/>
  <c r="G91" i="1" s="1"/>
  <c r="H91" i="1" s="1"/>
  <c r="I91" i="1" s="1"/>
  <c r="J91" i="1" s="1"/>
  <c r="K91" i="1" s="1"/>
  <c r="L91" i="1" s="1"/>
  <c r="M91" i="1" s="1"/>
  <c r="A90" i="1"/>
  <c r="B90" i="1" s="1"/>
  <c r="C90" i="1" s="1"/>
  <c r="D90" i="1" s="1"/>
  <c r="E90" i="1" s="1"/>
  <c r="F90" i="1" s="1"/>
  <c r="G90" i="1" s="1"/>
  <c r="H90" i="1" s="1"/>
  <c r="I90" i="1" s="1"/>
  <c r="J90" i="1" s="1"/>
  <c r="K90" i="1" s="1"/>
  <c r="L90" i="1" s="1"/>
  <c r="M90" i="1" s="1"/>
  <c r="A89" i="1"/>
  <c r="B89" i="1" s="1"/>
  <c r="C89" i="1" s="1"/>
  <c r="D89" i="1" s="1"/>
  <c r="E89" i="1" s="1"/>
  <c r="F89" i="1" s="1"/>
  <c r="G89" i="1" s="1"/>
  <c r="H89" i="1" s="1"/>
  <c r="I89" i="1" s="1"/>
  <c r="J89" i="1" s="1"/>
  <c r="K89" i="1" s="1"/>
  <c r="L89" i="1" s="1"/>
  <c r="M89" i="1" s="1"/>
  <c r="C88" i="1"/>
  <c r="D88" i="1" s="1"/>
  <c r="E88" i="1" s="1"/>
  <c r="F88" i="1" s="1"/>
  <c r="G88" i="1" s="1"/>
  <c r="H88" i="1" s="1"/>
  <c r="I88" i="1" s="1"/>
  <c r="J88" i="1" s="1"/>
  <c r="K88" i="1" s="1"/>
  <c r="L88" i="1" s="1"/>
  <c r="M88" i="1" s="1"/>
  <c r="B88" i="1"/>
  <c r="A88" i="1"/>
  <c r="A87" i="1"/>
  <c r="B87" i="1" s="1"/>
  <c r="C87" i="1" s="1"/>
  <c r="D87" i="1" s="1"/>
  <c r="E87" i="1" s="1"/>
  <c r="F87" i="1" s="1"/>
  <c r="G87" i="1" s="1"/>
  <c r="H87" i="1" s="1"/>
  <c r="I87" i="1" s="1"/>
  <c r="J87" i="1" s="1"/>
  <c r="K87" i="1" s="1"/>
  <c r="L87" i="1" s="1"/>
  <c r="M87" i="1" s="1"/>
  <c r="A86" i="1"/>
  <c r="B86" i="1" s="1"/>
  <c r="C86" i="1" s="1"/>
  <c r="D86" i="1" s="1"/>
  <c r="E86" i="1" s="1"/>
  <c r="F86" i="1" s="1"/>
  <c r="G86" i="1" s="1"/>
  <c r="H86" i="1" s="1"/>
  <c r="I86" i="1" s="1"/>
  <c r="J86" i="1" s="1"/>
  <c r="K86" i="1" s="1"/>
  <c r="L86" i="1" s="1"/>
  <c r="M86" i="1" s="1"/>
  <c r="B85" i="1"/>
  <c r="C85" i="1" s="1"/>
  <c r="D85" i="1" s="1"/>
  <c r="E85" i="1" s="1"/>
  <c r="F85" i="1" s="1"/>
  <c r="G85" i="1" s="1"/>
  <c r="H85" i="1" s="1"/>
  <c r="I85" i="1" s="1"/>
  <c r="J85" i="1" s="1"/>
  <c r="K85" i="1" s="1"/>
  <c r="L85" i="1" s="1"/>
  <c r="M85" i="1" s="1"/>
  <c r="A85" i="1"/>
  <c r="B84" i="1"/>
  <c r="C84" i="1" s="1"/>
  <c r="D84" i="1" s="1"/>
  <c r="E84" i="1" s="1"/>
  <c r="F84" i="1" s="1"/>
  <c r="G84" i="1" s="1"/>
  <c r="H84" i="1" s="1"/>
  <c r="I84" i="1" s="1"/>
  <c r="J84" i="1" s="1"/>
  <c r="K84" i="1" s="1"/>
  <c r="L84" i="1" s="1"/>
  <c r="M84" i="1" s="1"/>
  <c r="A84" i="1"/>
  <c r="A83" i="1"/>
  <c r="B83" i="1" s="1"/>
  <c r="C83" i="1" s="1"/>
  <c r="D83" i="1" s="1"/>
  <c r="E83" i="1" s="1"/>
  <c r="F83" i="1" s="1"/>
  <c r="G83" i="1" s="1"/>
  <c r="H83" i="1" s="1"/>
  <c r="I83" i="1" s="1"/>
  <c r="J83" i="1" s="1"/>
  <c r="K83" i="1" s="1"/>
  <c r="L83" i="1" s="1"/>
  <c r="M83" i="1" s="1"/>
  <c r="A82" i="1"/>
  <c r="B82" i="1" s="1"/>
  <c r="C82" i="1" s="1"/>
  <c r="D82" i="1" s="1"/>
  <c r="E82" i="1" s="1"/>
  <c r="F82" i="1" s="1"/>
  <c r="G82" i="1" s="1"/>
  <c r="H82" i="1" s="1"/>
  <c r="I82" i="1" s="1"/>
  <c r="J82" i="1" s="1"/>
  <c r="K82" i="1" s="1"/>
  <c r="L82" i="1" s="1"/>
  <c r="M82" i="1" s="1"/>
  <c r="A77" i="1"/>
  <c r="B77" i="1" s="1"/>
  <c r="C77" i="1" s="1"/>
  <c r="D77" i="1" s="1"/>
  <c r="E77" i="1" s="1"/>
  <c r="F77" i="1" s="1"/>
  <c r="G77" i="1" s="1"/>
  <c r="H77" i="1" s="1"/>
  <c r="I77" i="1" s="1"/>
  <c r="J77" i="1" s="1"/>
  <c r="K77" i="1" s="1"/>
  <c r="L77" i="1" s="1"/>
  <c r="M77" i="1" s="1"/>
  <c r="B76" i="1"/>
  <c r="C76" i="1" s="1"/>
  <c r="D76" i="1" s="1"/>
  <c r="E76" i="1" s="1"/>
  <c r="F76" i="1" s="1"/>
  <c r="G76" i="1" s="1"/>
  <c r="H76" i="1" s="1"/>
  <c r="I76" i="1" s="1"/>
  <c r="J76" i="1" s="1"/>
  <c r="K76" i="1" s="1"/>
  <c r="L76" i="1" s="1"/>
  <c r="M76" i="1" s="1"/>
  <c r="A76" i="1"/>
  <c r="A75" i="1"/>
  <c r="B75" i="1" s="1"/>
  <c r="C75" i="1" s="1"/>
  <c r="D75" i="1" s="1"/>
  <c r="E75" i="1" s="1"/>
  <c r="F75" i="1" s="1"/>
  <c r="G75" i="1" s="1"/>
  <c r="H75" i="1" s="1"/>
  <c r="I75" i="1" s="1"/>
  <c r="J75" i="1" s="1"/>
  <c r="K75" i="1" s="1"/>
  <c r="L75" i="1" s="1"/>
  <c r="M75" i="1" s="1"/>
  <c r="A74" i="1"/>
  <c r="B74" i="1" s="1"/>
  <c r="C74" i="1" s="1"/>
  <c r="D74" i="1" s="1"/>
  <c r="E74" i="1" s="1"/>
  <c r="F74" i="1" s="1"/>
  <c r="G74" i="1" s="1"/>
  <c r="H74" i="1" s="1"/>
  <c r="I74" i="1" s="1"/>
  <c r="J74" i="1" s="1"/>
  <c r="K74" i="1" s="1"/>
  <c r="L74" i="1" s="1"/>
  <c r="M74" i="1" s="1"/>
  <c r="A73" i="1"/>
  <c r="B73" i="1" s="1"/>
  <c r="C73" i="1" s="1"/>
  <c r="D73" i="1" s="1"/>
  <c r="E73" i="1" s="1"/>
  <c r="F73" i="1" s="1"/>
  <c r="G73" i="1" s="1"/>
  <c r="H73" i="1" s="1"/>
  <c r="I73" i="1" s="1"/>
  <c r="J73" i="1" s="1"/>
  <c r="K73" i="1" s="1"/>
  <c r="L73" i="1" s="1"/>
  <c r="M73" i="1" s="1"/>
  <c r="B72" i="1"/>
  <c r="C72" i="1" s="1"/>
  <c r="D72" i="1" s="1"/>
  <c r="E72" i="1" s="1"/>
  <c r="F72" i="1" s="1"/>
  <c r="G72" i="1" s="1"/>
  <c r="H72" i="1" s="1"/>
  <c r="I72" i="1" s="1"/>
  <c r="J72" i="1" s="1"/>
  <c r="K72" i="1" s="1"/>
  <c r="L72" i="1" s="1"/>
  <c r="M72" i="1" s="1"/>
  <c r="A72" i="1"/>
  <c r="C71" i="1"/>
  <c r="D71" i="1" s="1"/>
  <c r="E71" i="1" s="1"/>
  <c r="F71" i="1" s="1"/>
  <c r="G71" i="1" s="1"/>
  <c r="H71" i="1" s="1"/>
  <c r="I71" i="1" s="1"/>
  <c r="J71" i="1" s="1"/>
  <c r="K71" i="1" s="1"/>
  <c r="L71" i="1" s="1"/>
  <c r="M71" i="1" s="1"/>
  <c r="B71" i="1"/>
  <c r="A71" i="1"/>
  <c r="A70" i="1"/>
  <c r="B70" i="1" s="1"/>
  <c r="C70" i="1" s="1"/>
  <c r="D70" i="1" s="1"/>
  <c r="E70" i="1" s="1"/>
  <c r="F70" i="1" s="1"/>
  <c r="G70" i="1" s="1"/>
  <c r="H70" i="1" s="1"/>
  <c r="I70" i="1" s="1"/>
  <c r="J70" i="1" s="1"/>
  <c r="K70" i="1" s="1"/>
  <c r="L70" i="1" s="1"/>
  <c r="M70" i="1" s="1"/>
  <c r="A69" i="1"/>
  <c r="B69" i="1" s="1"/>
  <c r="C69" i="1" s="1"/>
  <c r="D69" i="1" s="1"/>
  <c r="E69" i="1" s="1"/>
  <c r="F69" i="1" s="1"/>
  <c r="G69" i="1" s="1"/>
  <c r="H69" i="1" s="1"/>
  <c r="I69" i="1" s="1"/>
  <c r="J69" i="1" s="1"/>
  <c r="K69" i="1" s="1"/>
  <c r="L69" i="1" s="1"/>
  <c r="M69" i="1" s="1"/>
  <c r="B68" i="1"/>
  <c r="C68" i="1" s="1"/>
  <c r="D68" i="1" s="1"/>
  <c r="E68" i="1" s="1"/>
  <c r="F68" i="1" s="1"/>
  <c r="G68" i="1" s="1"/>
  <c r="H68" i="1" s="1"/>
  <c r="I68" i="1" s="1"/>
  <c r="J68" i="1" s="1"/>
  <c r="K68" i="1" s="1"/>
  <c r="L68" i="1" s="1"/>
  <c r="M68" i="1" s="1"/>
  <c r="A68" i="1"/>
  <c r="A67" i="1"/>
  <c r="B67" i="1" s="1"/>
  <c r="C67" i="1" s="1"/>
  <c r="D67" i="1" s="1"/>
  <c r="E67" i="1" s="1"/>
  <c r="F67" i="1" s="1"/>
  <c r="G67" i="1" s="1"/>
  <c r="H67" i="1" s="1"/>
  <c r="I67" i="1" s="1"/>
  <c r="J67" i="1" s="1"/>
  <c r="K67" i="1" s="1"/>
  <c r="L67" i="1" s="1"/>
  <c r="M67" i="1" s="1"/>
  <c r="A66" i="1"/>
  <c r="B66" i="1" s="1"/>
  <c r="C66" i="1" s="1"/>
  <c r="D66" i="1" s="1"/>
  <c r="E66" i="1" s="1"/>
  <c r="F66" i="1" s="1"/>
  <c r="G66" i="1" s="1"/>
  <c r="H66" i="1" s="1"/>
  <c r="I66" i="1" s="1"/>
  <c r="J66" i="1" s="1"/>
  <c r="K66" i="1" s="1"/>
  <c r="L66" i="1" s="1"/>
  <c r="M66" i="1" s="1"/>
  <c r="A61" i="1"/>
  <c r="B61" i="1" s="1"/>
  <c r="C61" i="1" s="1"/>
  <c r="D61" i="1" s="1"/>
  <c r="E61" i="1" s="1"/>
  <c r="F61" i="1" s="1"/>
  <c r="G61" i="1" s="1"/>
  <c r="H61" i="1" s="1"/>
  <c r="I61" i="1" s="1"/>
  <c r="J61" i="1" s="1"/>
  <c r="K61" i="1" s="1"/>
  <c r="L61" i="1" s="1"/>
  <c r="M61" i="1" s="1"/>
  <c r="B60" i="1"/>
  <c r="C60" i="1" s="1"/>
  <c r="D60" i="1" s="1"/>
  <c r="E60" i="1" s="1"/>
  <c r="F60" i="1" s="1"/>
  <c r="G60" i="1" s="1"/>
  <c r="H60" i="1" s="1"/>
  <c r="I60" i="1" s="1"/>
  <c r="J60" i="1" s="1"/>
  <c r="K60" i="1" s="1"/>
  <c r="L60" i="1" s="1"/>
  <c r="M60" i="1" s="1"/>
  <c r="A60" i="1"/>
  <c r="B59" i="1"/>
  <c r="C59" i="1" s="1"/>
  <c r="D59" i="1" s="1"/>
  <c r="E59" i="1" s="1"/>
  <c r="F59" i="1" s="1"/>
  <c r="G59" i="1" s="1"/>
  <c r="H59" i="1" s="1"/>
  <c r="I59" i="1" s="1"/>
  <c r="J59" i="1" s="1"/>
  <c r="K59" i="1" s="1"/>
  <c r="L59" i="1" s="1"/>
  <c r="M59" i="1" s="1"/>
  <c r="A59" i="1"/>
  <c r="A58" i="1"/>
  <c r="B58" i="1" s="1"/>
  <c r="C58" i="1" s="1"/>
  <c r="D58" i="1" s="1"/>
  <c r="E58" i="1" s="1"/>
  <c r="F58" i="1" s="1"/>
  <c r="G58" i="1" s="1"/>
  <c r="H58" i="1" s="1"/>
  <c r="I58" i="1" s="1"/>
  <c r="J58" i="1" s="1"/>
  <c r="K58" i="1" s="1"/>
  <c r="L58" i="1" s="1"/>
  <c r="M58" i="1" s="1"/>
  <c r="A57" i="1"/>
  <c r="B57" i="1" s="1"/>
  <c r="C57" i="1" s="1"/>
  <c r="D57" i="1" s="1"/>
  <c r="E57" i="1" s="1"/>
  <c r="F57" i="1" s="1"/>
  <c r="G57" i="1" s="1"/>
  <c r="H57" i="1" s="1"/>
  <c r="I57" i="1" s="1"/>
  <c r="J57" i="1" s="1"/>
  <c r="K57" i="1" s="1"/>
  <c r="L57" i="1" s="1"/>
  <c r="M57" i="1" s="1"/>
  <c r="A56" i="1"/>
  <c r="B56" i="1" s="1"/>
  <c r="C56" i="1" s="1"/>
  <c r="D56" i="1" s="1"/>
  <c r="E56" i="1" s="1"/>
  <c r="F56" i="1" s="1"/>
  <c r="G56" i="1" s="1"/>
  <c r="H56" i="1" s="1"/>
  <c r="I56" i="1" s="1"/>
  <c r="J56" i="1" s="1"/>
  <c r="K56" i="1" s="1"/>
  <c r="L56" i="1" s="1"/>
  <c r="M56" i="1" s="1"/>
  <c r="A55" i="1"/>
  <c r="B55" i="1" s="1"/>
  <c r="C55" i="1" s="1"/>
  <c r="D55" i="1" s="1"/>
  <c r="E55" i="1" s="1"/>
  <c r="F55" i="1" s="1"/>
  <c r="G55" i="1" s="1"/>
  <c r="H55" i="1" s="1"/>
  <c r="I55" i="1" s="1"/>
  <c r="J55" i="1" s="1"/>
  <c r="K55" i="1" s="1"/>
  <c r="L55" i="1" s="1"/>
  <c r="M55" i="1" s="1"/>
  <c r="A54" i="1"/>
  <c r="B54" i="1" s="1"/>
  <c r="C54" i="1" s="1"/>
  <c r="D54" i="1" s="1"/>
  <c r="E54" i="1" s="1"/>
  <c r="F54" i="1" s="1"/>
  <c r="G54" i="1" s="1"/>
  <c r="H54" i="1" s="1"/>
  <c r="I54" i="1" s="1"/>
  <c r="J54" i="1" s="1"/>
  <c r="K54" i="1" s="1"/>
  <c r="L54" i="1" s="1"/>
  <c r="M54" i="1" s="1"/>
  <c r="A53" i="1"/>
  <c r="B53" i="1" s="1"/>
  <c r="C53" i="1" s="1"/>
  <c r="D53" i="1" s="1"/>
  <c r="E53" i="1" s="1"/>
  <c r="F53" i="1" s="1"/>
  <c r="G53" i="1" s="1"/>
  <c r="H53" i="1" s="1"/>
  <c r="I53" i="1" s="1"/>
  <c r="J53" i="1" s="1"/>
  <c r="K53" i="1" s="1"/>
  <c r="L53" i="1" s="1"/>
  <c r="M53" i="1" s="1"/>
  <c r="B52" i="1"/>
  <c r="C52" i="1" s="1"/>
  <c r="D52" i="1" s="1"/>
  <c r="E52" i="1" s="1"/>
  <c r="F52" i="1" s="1"/>
  <c r="G52" i="1" s="1"/>
  <c r="H52" i="1" s="1"/>
  <c r="I52" i="1" s="1"/>
  <c r="J52" i="1" s="1"/>
  <c r="K52" i="1" s="1"/>
  <c r="L52" i="1" s="1"/>
  <c r="M52" i="1" s="1"/>
  <c r="A52" i="1"/>
  <c r="B51" i="1"/>
  <c r="C51" i="1" s="1"/>
  <c r="D51" i="1" s="1"/>
  <c r="E51" i="1" s="1"/>
  <c r="F51" i="1" s="1"/>
  <c r="G51" i="1" s="1"/>
  <c r="H51" i="1" s="1"/>
  <c r="I51" i="1" s="1"/>
  <c r="J51" i="1" s="1"/>
  <c r="K51" i="1" s="1"/>
  <c r="L51" i="1" s="1"/>
  <c r="M51" i="1" s="1"/>
  <c r="A51" i="1"/>
  <c r="A50" i="1"/>
  <c r="B50" i="1" s="1"/>
  <c r="C50" i="1" s="1"/>
  <c r="D50" i="1" s="1"/>
  <c r="E50" i="1" s="1"/>
  <c r="F50" i="1" s="1"/>
  <c r="G50" i="1" s="1"/>
  <c r="H50" i="1" s="1"/>
  <c r="I50" i="1" s="1"/>
  <c r="J50" i="1" s="1"/>
  <c r="K50" i="1" s="1"/>
  <c r="L50" i="1" s="1"/>
  <c r="M50" i="1" s="1"/>
  <c r="A45" i="1"/>
  <c r="B45" i="1" s="1"/>
  <c r="C45" i="1" s="1"/>
  <c r="D45" i="1" s="1"/>
  <c r="E45" i="1" s="1"/>
  <c r="F45" i="1" s="1"/>
  <c r="G45" i="1" s="1"/>
  <c r="H45" i="1" s="1"/>
  <c r="I45" i="1" s="1"/>
  <c r="J45" i="1" s="1"/>
  <c r="K45" i="1" s="1"/>
  <c r="L45" i="1" s="1"/>
  <c r="M45" i="1" s="1"/>
  <c r="A44" i="1"/>
  <c r="B44" i="1" s="1"/>
  <c r="C44" i="1" s="1"/>
  <c r="D44" i="1" s="1"/>
  <c r="E44" i="1" s="1"/>
  <c r="F44" i="1" s="1"/>
  <c r="G44" i="1" s="1"/>
  <c r="H44" i="1" s="1"/>
  <c r="I44" i="1" s="1"/>
  <c r="J44" i="1" s="1"/>
  <c r="K44" i="1" s="1"/>
  <c r="L44" i="1" s="1"/>
  <c r="M44" i="1" s="1"/>
  <c r="A43" i="1"/>
  <c r="B43" i="1" s="1"/>
  <c r="C43" i="1" s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C42" i="1"/>
  <c r="D42" i="1" s="1"/>
  <c r="E42" i="1" s="1"/>
  <c r="F42" i="1" s="1"/>
  <c r="G42" i="1" s="1"/>
  <c r="H42" i="1" s="1"/>
  <c r="I42" i="1" s="1"/>
  <c r="J42" i="1" s="1"/>
  <c r="K42" i="1" s="1"/>
  <c r="L42" i="1" s="1"/>
  <c r="M42" i="1" s="1"/>
  <c r="B42" i="1"/>
  <c r="A42" i="1"/>
  <c r="A41" i="1"/>
  <c r="B41" i="1" s="1"/>
  <c r="C41" i="1" s="1"/>
  <c r="D41" i="1" s="1"/>
  <c r="E41" i="1" s="1"/>
  <c r="F41" i="1" s="1"/>
  <c r="G41" i="1" s="1"/>
  <c r="H41" i="1" s="1"/>
  <c r="I41" i="1" s="1"/>
  <c r="J41" i="1" s="1"/>
  <c r="K41" i="1" s="1"/>
  <c r="L41" i="1" s="1"/>
  <c r="M41" i="1" s="1"/>
  <c r="B40" i="1"/>
  <c r="C40" i="1" s="1"/>
  <c r="D40" i="1" s="1"/>
  <c r="E40" i="1" s="1"/>
  <c r="F40" i="1" s="1"/>
  <c r="G40" i="1" s="1"/>
  <c r="H40" i="1" s="1"/>
  <c r="I40" i="1" s="1"/>
  <c r="J40" i="1" s="1"/>
  <c r="K40" i="1" s="1"/>
  <c r="L40" i="1" s="1"/>
  <c r="M40" i="1" s="1"/>
  <c r="A40" i="1"/>
  <c r="B39" i="1"/>
  <c r="C39" i="1" s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A39" i="1"/>
  <c r="A38" i="1"/>
  <c r="B38" i="1" s="1"/>
  <c r="C38" i="1" s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A37" i="1"/>
  <c r="B37" i="1" s="1"/>
  <c r="C37" i="1" s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A36" i="1"/>
  <c r="B36" i="1" s="1"/>
  <c r="C36" i="1" s="1"/>
  <c r="D36" i="1" s="1"/>
  <c r="E36" i="1" s="1"/>
  <c r="F36" i="1" s="1"/>
  <c r="G36" i="1" s="1"/>
  <c r="H36" i="1" s="1"/>
  <c r="I36" i="1" s="1"/>
  <c r="J36" i="1" s="1"/>
  <c r="K36" i="1" s="1"/>
  <c r="L36" i="1" s="1"/>
  <c r="M36" i="1" s="1"/>
  <c r="A35" i="1"/>
  <c r="B35" i="1" s="1"/>
  <c r="C35" i="1" s="1"/>
  <c r="D35" i="1" s="1"/>
  <c r="E35" i="1" s="1"/>
  <c r="F35" i="1" s="1"/>
  <c r="G35" i="1" s="1"/>
  <c r="H35" i="1" s="1"/>
  <c r="I35" i="1" s="1"/>
  <c r="J35" i="1" s="1"/>
  <c r="K35" i="1" s="1"/>
  <c r="L35" i="1" s="1"/>
  <c r="M35" i="1" s="1"/>
  <c r="C34" i="1"/>
  <c r="D34" i="1" s="1"/>
  <c r="E34" i="1" s="1"/>
  <c r="F34" i="1" s="1"/>
  <c r="G34" i="1" s="1"/>
  <c r="H34" i="1" s="1"/>
  <c r="I34" i="1" s="1"/>
  <c r="J34" i="1" s="1"/>
  <c r="K34" i="1" s="1"/>
  <c r="L34" i="1" s="1"/>
  <c r="M34" i="1" s="1"/>
  <c r="B34" i="1"/>
  <c r="A34" i="1"/>
  <c r="L13" i="1"/>
  <c r="M19" i="1"/>
  <c r="M20" i="1"/>
  <c r="M21" i="1"/>
  <c r="M22" i="1"/>
  <c r="M23" i="1"/>
  <c r="M24" i="1"/>
  <c r="M25" i="1"/>
  <c r="M26" i="1"/>
  <c r="M27" i="1"/>
  <c r="M28" i="1"/>
  <c r="M18" i="1"/>
  <c r="A18" i="1"/>
  <c r="B18" i="1" s="1"/>
  <c r="C18" i="1" s="1"/>
  <c r="D18" i="1" s="1"/>
  <c r="E18" i="1" s="1"/>
  <c r="F18" i="1" s="1"/>
  <c r="G18" i="1" s="1"/>
  <c r="H18" i="1" s="1"/>
  <c r="I18" i="1" s="1"/>
  <c r="J18" i="1" s="1"/>
  <c r="K18" i="1" s="1"/>
  <c r="L18" i="1" s="1"/>
  <c r="A19" i="1"/>
  <c r="B19" i="1" s="1"/>
  <c r="C19" i="1" s="1"/>
  <c r="D19" i="1" s="1"/>
  <c r="E19" i="1" s="1"/>
  <c r="F19" i="1" s="1"/>
  <c r="G19" i="1" s="1"/>
  <c r="H19" i="1" s="1"/>
  <c r="I19" i="1" s="1"/>
  <c r="J19" i="1" s="1"/>
  <c r="K19" i="1" s="1"/>
  <c r="L19" i="1" s="1"/>
  <c r="A20" i="1"/>
  <c r="A21" i="1"/>
  <c r="B21" i="1" s="1"/>
  <c r="C21" i="1" s="1"/>
  <c r="D21" i="1" s="1"/>
  <c r="E21" i="1" s="1"/>
  <c r="F21" i="1" s="1"/>
  <c r="G21" i="1" s="1"/>
  <c r="H21" i="1" s="1"/>
  <c r="I21" i="1" s="1"/>
  <c r="J21" i="1" s="1"/>
  <c r="K21" i="1" s="1"/>
  <c r="L21" i="1" s="1"/>
  <c r="A22" i="1"/>
  <c r="B22" i="1" s="1"/>
  <c r="C22" i="1" s="1"/>
  <c r="D22" i="1" s="1"/>
  <c r="E22" i="1" s="1"/>
  <c r="F22" i="1" s="1"/>
  <c r="G22" i="1" s="1"/>
  <c r="H22" i="1" s="1"/>
  <c r="I22" i="1" s="1"/>
  <c r="J22" i="1" s="1"/>
  <c r="K22" i="1" s="1"/>
  <c r="L22" i="1" s="1"/>
  <c r="A23" i="1"/>
  <c r="A24" i="1"/>
  <c r="A25" i="1"/>
  <c r="A26" i="1"/>
  <c r="A27" i="1"/>
  <c r="A28" i="1"/>
  <c r="B28" i="1" s="1"/>
  <c r="C28" i="1" s="1"/>
  <c r="D28" i="1" s="1"/>
  <c r="E28" i="1" s="1"/>
  <c r="F28" i="1" s="1"/>
  <c r="G28" i="1" s="1"/>
  <c r="H28" i="1" s="1"/>
  <c r="I28" i="1" s="1"/>
  <c r="J28" i="1" s="1"/>
  <c r="K28" i="1" s="1"/>
  <c r="L28" i="1" s="1"/>
  <c r="B27" i="1"/>
  <c r="C27" i="1" s="1"/>
  <c r="D27" i="1" s="1"/>
  <c r="E27" i="1" s="1"/>
  <c r="F27" i="1" s="1"/>
  <c r="G27" i="1" s="1"/>
  <c r="H27" i="1" s="1"/>
  <c r="I27" i="1" s="1"/>
  <c r="J27" i="1" s="1"/>
  <c r="K27" i="1" s="1"/>
  <c r="L27" i="1" s="1"/>
  <c r="B26" i="1"/>
  <c r="C26" i="1" s="1"/>
  <c r="D26" i="1" s="1"/>
  <c r="E26" i="1" s="1"/>
  <c r="F26" i="1" s="1"/>
  <c r="G26" i="1" s="1"/>
  <c r="H26" i="1" s="1"/>
  <c r="I26" i="1" s="1"/>
  <c r="J26" i="1" s="1"/>
  <c r="K26" i="1" s="1"/>
  <c r="L26" i="1" s="1"/>
  <c r="C25" i="1"/>
  <c r="D25" i="1" s="1"/>
  <c r="E25" i="1" s="1"/>
  <c r="F25" i="1" s="1"/>
  <c r="G25" i="1" s="1"/>
  <c r="H25" i="1" s="1"/>
  <c r="I25" i="1" s="1"/>
  <c r="J25" i="1" s="1"/>
  <c r="K25" i="1" s="1"/>
  <c r="L25" i="1" s="1"/>
  <c r="B25" i="1"/>
  <c r="B24" i="1"/>
  <c r="C24" i="1" s="1"/>
  <c r="D24" i="1" s="1"/>
  <c r="E24" i="1" s="1"/>
  <c r="F24" i="1" s="1"/>
  <c r="G24" i="1" s="1"/>
  <c r="H24" i="1" s="1"/>
  <c r="I24" i="1" s="1"/>
  <c r="J24" i="1" s="1"/>
  <c r="K24" i="1" s="1"/>
  <c r="L24" i="1" s="1"/>
  <c r="B23" i="1"/>
  <c r="C23" i="1" s="1"/>
  <c r="D23" i="1" s="1"/>
  <c r="E23" i="1" s="1"/>
  <c r="F23" i="1" s="1"/>
  <c r="G23" i="1" s="1"/>
  <c r="H23" i="1" s="1"/>
  <c r="I23" i="1" s="1"/>
  <c r="J23" i="1" s="1"/>
  <c r="K23" i="1" s="1"/>
  <c r="L23" i="1" s="1"/>
  <c r="B20" i="1"/>
  <c r="C20" i="1" s="1"/>
  <c r="D20" i="1" s="1"/>
  <c r="E20" i="1" s="1"/>
  <c r="F20" i="1" s="1"/>
  <c r="G20" i="1" s="1"/>
  <c r="H20" i="1" s="1"/>
  <c r="I20" i="1" s="1"/>
  <c r="J20" i="1" s="1"/>
  <c r="K20" i="1" s="1"/>
  <c r="L20" i="1" s="1"/>
  <c r="K12" i="1"/>
  <c r="J11" i="1"/>
  <c r="I10" i="1"/>
  <c r="H9" i="1"/>
  <c r="G8" i="1"/>
  <c r="F7" i="1"/>
  <c r="E6" i="1"/>
  <c r="D5" i="1"/>
  <c r="C4" i="1"/>
  <c r="B3" i="1"/>
  <c r="C3" i="1" s="1"/>
  <c r="D3" i="1" s="1"/>
  <c r="E3" i="1" s="1"/>
  <c r="F3" i="1" s="1"/>
  <c r="G3" i="1" s="1"/>
  <c r="H3" i="1" s="1"/>
  <c r="I3" i="1" s="1"/>
  <c r="J3" i="1" s="1"/>
  <c r="K3" i="1" s="1"/>
  <c r="L3" i="1" s="1"/>
  <c r="M3" i="1" s="1"/>
  <c r="B4" i="1"/>
  <c r="B5" i="1"/>
  <c r="C5" i="1"/>
  <c r="B6" i="1"/>
  <c r="C6" i="1" s="1"/>
  <c r="D6" i="1" s="1"/>
  <c r="B7" i="1"/>
  <c r="C7" i="1" s="1"/>
  <c r="D7" i="1" s="1"/>
  <c r="E7" i="1" s="1"/>
  <c r="G7" i="1" s="1"/>
  <c r="H7" i="1" s="1"/>
  <c r="I7" i="1" s="1"/>
  <c r="J7" i="1" s="1"/>
  <c r="K7" i="1" s="1"/>
  <c r="L7" i="1" s="1"/>
  <c r="M7" i="1" s="1"/>
  <c r="B8" i="1"/>
  <c r="C8" i="1" s="1"/>
  <c r="D8" i="1" s="1"/>
  <c r="E8" i="1" s="1"/>
  <c r="F8" i="1" s="1"/>
  <c r="B9" i="1"/>
  <c r="C9" i="1" s="1"/>
  <c r="D9" i="1" s="1"/>
  <c r="E9" i="1" s="1"/>
  <c r="F9" i="1" s="1"/>
  <c r="G9" i="1" s="1"/>
  <c r="B10" i="1"/>
  <c r="C10" i="1" s="1"/>
  <c r="D10" i="1" s="1"/>
  <c r="E10" i="1" s="1"/>
  <c r="F10" i="1" s="1"/>
  <c r="G10" i="1" s="1"/>
  <c r="H10" i="1" s="1"/>
  <c r="J10" i="1" s="1"/>
  <c r="K10" i="1" s="1"/>
  <c r="L10" i="1" s="1"/>
  <c r="M10" i="1" s="1"/>
  <c r="B11" i="1"/>
  <c r="C11" i="1"/>
  <c r="D11" i="1" s="1"/>
  <c r="E11" i="1" s="1"/>
  <c r="F11" i="1" s="1"/>
  <c r="G11" i="1" s="1"/>
  <c r="H11" i="1" s="1"/>
  <c r="I11" i="1" s="1"/>
  <c r="B12" i="1"/>
  <c r="C12" i="1" s="1"/>
  <c r="D12" i="1" s="1"/>
  <c r="E12" i="1" s="1"/>
  <c r="F12" i="1" s="1"/>
  <c r="G12" i="1"/>
  <c r="H12" i="1" s="1"/>
  <c r="I12" i="1" s="1"/>
  <c r="J12" i="1" s="1"/>
  <c r="B13" i="1"/>
  <c r="C13" i="1"/>
  <c r="D13" i="1" s="1"/>
  <c r="E13" i="1" s="1"/>
  <c r="F13" i="1" s="1"/>
  <c r="G13" i="1" s="1"/>
  <c r="H13" i="1" s="1"/>
  <c r="I13" i="1" s="1"/>
  <c r="J13" i="1" s="1"/>
  <c r="K13" i="1" s="1"/>
  <c r="B2" i="1"/>
  <c r="C2" i="1" s="1"/>
  <c r="D2" i="1" s="1"/>
  <c r="E2" i="1" s="1"/>
  <c r="F2" i="1" s="1"/>
  <c r="G2" i="1" s="1"/>
  <c r="H2" i="1" s="1"/>
  <c r="I2" i="1" s="1"/>
  <c r="J2" i="1" s="1"/>
  <c r="K2" i="1" s="1"/>
  <c r="L2" i="1" s="1"/>
  <c r="M2" i="1" s="1"/>
  <c r="M191" i="1" l="1"/>
  <c r="M159" i="1"/>
  <c r="M143" i="1"/>
  <c r="M125" i="1"/>
  <c r="L124" i="1"/>
  <c r="M124" i="1" s="1"/>
  <c r="K123" i="1"/>
  <c r="L123" i="1" s="1"/>
  <c r="M123" i="1" s="1"/>
  <c r="I121" i="1"/>
  <c r="J121" i="1" s="1"/>
  <c r="K121" i="1" s="1"/>
  <c r="L121" i="1" s="1"/>
  <c r="M121" i="1" s="1"/>
  <c r="H120" i="1"/>
  <c r="I120" i="1" s="1"/>
  <c r="J120" i="1" s="1"/>
  <c r="K120" i="1" s="1"/>
  <c r="L120" i="1" s="1"/>
  <c r="M120" i="1" s="1"/>
  <c r="F118" i="1"/>
  <c r="G118" i="1" s="1"/>
  <c r="H118" i="1" s="1"/>
  <c r="I118" i="1" s="1"/>
  <c r="J118" i="1" s="1"/>
  <c r="K118" i="1" s="1"/>
  <c r="L118" i="1" s="1"/>
  <c r="M118" i="1" s="1"/>
  <c r="D116" i="1"/>
  <c r="E116" i="1" s="1"/>
  <c r="F116" i="1" s="1"/>
  <c r="G116" i="1" s="1"/>
  <c r="H116" i="1" s="1"/>
  <c r="I116" i="1" s="1"/>
  <c r="J116" i="1" s="1"/>
  <c r="K116" i="1" s="1"/>
  <c r="L116" i="1" s="1"/>
  <c r="M116" i="1" s="1"/>
  <c r="M111" i="1"/>
  <c r="M95" i="1"/>
  <c r="M79" i="1"/>
  <c r="M63" i="1"/>
  <c r="M47" i="1"/>
  <c r="M13" i="1"/>
  <c r="A29" i="1" s="1"/>
  <c r="B29" i="1" s="1"/>
  <c r="C29" i="1" s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L12" i="1"/>
  <c r="M12" i="1" s="1"/>
  <c r="K11" i="1"/>
  <c r="L11" i="1" s="1"/>
  <c r="M11" i="1" s="1"/>
  <c r="I9" i="1"/>
  <c r="J9" i="1" s="1"/>
  <c r="K9" i="1" s="1"/>
  <c r="L9" i="1" s="1"/>
  <c r="M9" i="1" s="1"/>
  <c r="H8" i="1"/>
  <c r="I8" i="1" s="1"/>
  <c r="J8" i="1" s="1"/>
  <c r="K8" i="1" s="1"/>
  <c r="L8" i="1" s="1"/>
  <c r="M8" i="1" s="1"/>
  <c r="F6" i="1"/>
  <c r="G6" i="1" s="1"/>
  <c r="H6" i="1" s="1"/>
  <c r="I6" i="1" s="1"/>
  <c r="J6" i="1" s="1"/>
  <c r="K6" i="1" s="1"/>
  <c r="L6" i="1" s="1"/>
  <c r="M6" i="1" s="1"/>
  <c r="E5" i="1"/>
  <c r="F5" i="1" s="1"/>
  <c r="G5" i="1" s="1"/>
  <c r="H5" i="1" s="1"/>
  <c r="I5" i="1" s="1"/>
  <c r="J5" i="1" s="1"/>
  <c r="K5" i="1" s="1"/>
  <c r="L5" i="1" s="1"/>
  <c r="M5" i="1" s="1"/>
  <c r="D4" i="1"/>
  <c r="E4" i="1" s="1"/>
  <c r="F4" i="1" s="1"/>
  <c r="G4" i="1" s="1"/>
  <c r="H4" i="1" s="1"/>
  <c r="I4" i="1" s="1"/>
  <c r="J4" i="1" s="1"/>
  <c r="K4" i="1" s="1"/>
  <c r="L4" i="1" s="1"/>
  <c r="M4" i="1" s="1"/>
  <c r="M127" i="1" l="1"/>
  <c r="M15" i="1"/>
  <c r="N18" i="1" l="1"/>
  <c r="M31" i="1" l="1"/>
</calcChain>
</file>

<file path=xl/sharedStrings.xml><?xml version="1.0" encoding="utf-8"?>
<sst xmlns="http://schemas.openxmlformats.org/spreadsheetml/2006/main" count="132" uniqueCount="11">
  <si>
    <t>Feb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</si>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</sst>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 applyAlignment="1">
      <alignment horizontal="left"/>
    </xf>
    <xf numFmtId="43" fontId="0" fillId="0" borderId="0" xfId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1"/>
  <sheetViews>
    <sheetView tabSelected="1" workbookViewId="0">
      <selection activeCell="N178" sqref="N178"/>
    </sheetView>
  </sheetViews>
  <sheetFormatPr baseColWidth="10" defaultRowHeight="15" x14ac:dyDescent="0.25"/>
  <cols>
    <col min="1" max="12" width="12" bestFit="1" customWidth="1"/>
    <col min="13" max="13" width="13" bestFit="1" customWidth="1"/>
  </cols>
  <sheetData>
    <row r="1" spans="1:14" x14ac:dyDescent="0.25">
      <c r="A1" s="1">
        <v>43831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s="2">
        <v>2500</v>
      </c>
      <c r="B2" s="2">
        <f>A2*1.02</f>
        <v>2550</v>
      </c>
      <c r="C2" s="2">
        <f t="shared" ref="C2:L2" si="0">B2*1.02</f>
        <v>2601</v>
      </c>
      <c r="D2" s="2">
        <f t="shared" si="0"/>
        <v>2653.02</v>
      </c>
      <c r="E2" s="2">
        <f t="shared" si="0"/>
        <v>2706.0803999999998</v>
      </c>
      <c r="F2" s="2">
        <f t="shared" si="0"/>
        <v>2760.2020079999998</v>
      </c>
      <c r="G2" s="2">
        <f t="shared" si="0"/>
        <v>2815.40604816</v>
      </c>
      <c r="H2" s="2">
        <f t="shared" si="0"/>
        <v>2871.7141691232</v>
      </c>
      <c r="I2" s="2">
        <f t="shared" si="0"/>
        <v>2929.148452505664</v>
      </c>
      <c r="J2" s="2">
        <f t="shared" si="0"/>
        <v>2987.7314215557772</v>
      </c>
      <c r="K2" s="2">
        <f t="shared" si="0"/>
        <v>3047.4860499868928</v>
      </c>
      <c r="L2" s="2">
        <f t="shared" si="0"/>
        <v>3108.4357709866308</v>
      </c>
      <c r="M2" s="2">
        <f>L2</f>
        <v>3108.4357709866308</v>
      </c>
      <c r="N2">
        <f>M2/A2-1</f>
        <v>0.24337430839465224</v>
      </c>
    </row>
    <row r="3" spans="1:14" x14ac:dyDescent="0.25">
      <c r="A3" s="2">
        <v>0</v>
      </c>
      <c r="B3" s="2">
        <f>A3*1.02+2500</f>
        <v>2500</v>
      </c>
      <c r="C3" s="2">
        <f t="shared" ref="C3:L3" si="1">B3*1.02</f>
        <v>2550</v>
      </c>
      <c r="D3" s="2">
        <f t="shared" si="1"/>
        <v>2601</v>
      </c>
      <c r="E3" s="2">
        <f t="shared" si="1"/>
        <v>2653.02</v>
      </c>
      <c r="F3" s="2">
        <f t="shared" si="1"/>
        <v>2706.0803999999998</v>
      </c>
      <c r="G3" s="2">
        <f t="shared" si="1"/>
        <v>2760.2020079999998</v>
      </c>
      <c r="H3" s="2">
        <f t="shared" si="1"/>
        <v>2815.40604816</v>
      </c>
      <c r="I3" s="2">
        <f t="shared" si="1"/>
        <v>2871.7141691232</v>
      </c>
      <c r="J3" s="2">
        <f t="shared" si="1"/>
        <v>2929.148452505664</v>
      </c>
      <c r="K3" s="2">
        <f t="shared" si="1"/>
        <v>2987.7314215557772</v>
      </c>
      <c r="L3" s="2">
        <f t="shared" si="1"/>
        <v>3047.4860499868928</v>
      </c>
      <c r="M3" s="2">
        <f t="shared" ref="M3:M13" si="2">L3</f>
        <v>3047.4860499868928</v>
      </c>
    </row>
    <row r="4" spans="1:14" x14ac:dyDescent="0.25">
      <c r="A4" s="2">
        <v>0</v>
      </c>
      <c r="B4" s="2">
        <f t="shared" ref="B4:L4" si="3">A4*1.02</f>
        <v>0</v>
      </c>
      <c r="C4" s="2">
        <f>B4*1.02+2500</f>
        <v>2500</v>
      </c>
      <c r="D4" s="2">
        <f t="shared" si="3"/>
        <v>2550</v>
      </c>
      <c r="E4" s="2">
        <f t="shared" si="3"/>
        <v>2601</v>
      </c>
      <c r="F4" s="2">
        <f t="shared" si="3"/>
        <v>2653.02</v>
      </c>
      <c r="G4" s="2">
        <f t="shared" si="3"/>
        <v>2706.0803999999998</v>
      </c>
      <c r="H4" s="2">
        <f t="shared" si="3"/>
        <v>2760.2020079999998</v>
      </c>
      <c r="I4" s="2">
        <f t="shared" si="3"/>
        <v>2815.40604816</v>
      </c>
      <c r="J4" s="2">
        <f t="shared" si="3"/>
        <v>2871.7141691232</v>
      </c>
      <c r="K4" s="2">
        <f t="shared" si="3"/>
        <v>2929.148452505664</v>
      </c>
      <c r="L4" s="2">
        <f t="shared" si="3"/>
        <v>2987.7314215557772</v>
      </c>
      <c r="M4" s="2">
        <f t="shared" si="2"/>
        <v>2987.7314215557772</v>
      </c>
    </row>
    <row r="5" spans="1:14" x14ac:dyDescent="0.25">
      <c r="A5" s="2">
        <v>0</v>
      </c>
      <c r="B5" s="2">
        <f t="shared" ref="B5:L5" si="4">A5*1.02</f>
        <v>0</v>
      </c>
      <c r="C5" s="2">
        <f t="shared" si="4"/>
        <v>0</v>
      </c>
      <c r="D5" s="2">
        <f>C5*1.02+2500</f>
        <v>2500</v>
      </c>
      <c r="E5" s="2">
        <f t="shared" si="4"/>
        <v>2550</v>
      </c>
      <c r="F5" s="2">
        <f t="shared" si="4"/>
        <v>2601</v>
      </c>
      <c r="G5" s="2">
        <f t="shared" si="4"/>
        <v>2653.02</v>
      </c>
      <c r="H5" s="2">
        <f t="shared" si="4"/>
        <v>2706.0803999999998</v>
      </c>
      <c r="I5" s="2">
        <f t="shared" si="4"/>
        <v>2760.2020079999998</v>
      </c>
      <c r="J5" s="2">
        <f t="shared" si="4"/>
        <v>2815.40604816</v>
      </c>
      <c r="K5" s="2">
        <f t="shared" si="4"/>
        <v>2871.7141691232</v>
      </c>
      <c r="L5" s="2">
        <f t="shared" si="4"/>
        <v>2929.148452505664</v>
      </c>
      <c r="M5" s="2">
        <f t="shared" si="2"/>
        <v>2929.148452505664</v>
      </c>
    </row>
    <row r="6" spans="1:14" x14ac:dyDescent="0.25">
      <c r="A6" s="2">
        <v>0</v>
      </c>
      <c r="B6" s="2">
        <f t="shared" ref="B6:L6" si="5">A6*1.02</f>
        <v>0</v>
      </c>
      <c r="C6" s="2">
        <f t="shared" si="5"/>
        <v>0</v>
      </c>
      <c r="D6" s="2">
        <f t="shared" si="5"/>
        <v>0</v>
      </c>
      <c r="E6" s="2">
        <f>D6*1.02+2500</f>
        <v>2500</v>
      </c>
      <c r="F6" s="2">
        <f t="shared" si="5"/>
        <v>2550</v>
      </c>
      <c r="G6" s="2">
        <f t="shared" si="5"/>
        <v>2601</v>
      </c>
      <c r="H6" s="2">
        <f t="shared" si="5"/>
        <v>2653.02</v>
      </c>
      <c r="I6" s="2">
        <f t="shared" si="5"/>
        <v>2706.0803999999998</v>
      </c>
      <c r="J6" s="2">
        <f t="shared" si="5"/>
        <v>2760.2020079999998</v>
      </c>
      <c r="K6" s="2">
        <f t="shared" si="5"/>
        <v>2815.40604816</v>
      </c>
      <c r="L6" s="2">
        <f t="shared" si="5"/>
        <v>2871.7141691232</v>
      </c>
      <c r="M6" s="2">
        <f t="shared" si="2"/>
        <v>2871.7141691232</v>
      </c>
    </row>
    <row r="7" spans="1:14" x14ac:dyDescent="0.25">
      <c r="A7" s="2">
        <v>0</v>
      </c>
      <c r="B7" s="2">
        <f t="shared" ref="B7:L7" si="6">A7*1.02</f>
        <v>0</v>
      </c>
      <c r="C7" s="2">
        <f t="shared" si="6"/>
        <v>0</v>
      </c>
      <c r="D7" s="2">
        <f t="shared" si="6"/>
        <v>0</v>
      </c>
      <c r="E7" s="2">
        <f t="shared" si="6"/>
        <v>0</v>
      </c>
      <c r="F7" s="2">
        <f>E7*1.02+2500</f>
        <v>2500</v>
      </c>
      <c r="G7" s="2">
        <f t="shared" si="6"/>
        <v>2550</v>
      </c>
      <c r="H7" s="2">
        <f t="shared" si="6"/>
        <v>2601</v>
      </c>
      <c r="I7" s="2">
        <f t="shared" si="6"/>
        <v>2653.02</v>
      </c>
      <c r="J7" s="2">
        <f t="shared" si="6"/>
        <v>2706.0803999999998</v>
      </c>
      <c r="K7" s="2">
        <f t="shared" si="6"/>
        <v>2760.2020079999998</v>
      </c>
      <c r="L7" s="2">
        <f t="shared" si="6"/>
        <v>2815.40604816</v>
      </c>
      <c r="M7" s="2">
        <f t="shared" si="2"/>
        <v>2815.40604816</v>
      </c>
    </row>
    <row r="8" spans="1:14" x14ac:dyDescent="0.25">
      <c r="A8" s="2">
        <v>0</v>
      </c>
      <c r="B8" s="2">
        <f t="shared" ref="B8:L8" si="7">A8*1.02</f>
        <v>0</v>
      </c>
      <c r="C8" s="2">
        <f t="shared" si="7"/>
        <v>0</v>
      </c>
      <c r="D8" s="2">
        <f t="shared" si="7"/>
        <v>0</v>
      </c>
      <c r="E8" s="2">
        <f t="shared" si="7"/>
        <v>0</v>
      </c>
      <c r="F8" s="2">
        <f t="shared" si="7"/>
        <v>0</v>
      </c>
      <c r="G8" s="2">
        <f>F8*1.02+2500</f>
        <v>2500</v>
      </c>
      <c r="H8" s="2">
        <f t="shared" si="7"/>
        <v>2550</v>
      </c>
      <c r="I8" s="2">
        <f t="shared" si="7"/>
        <v>2601</v>
      </c>
      <c r="J8" s="2">
        <f t="shared" si="7"/>
        <v>2653.02</v>
      </c>
      <c r="K8" s="2">
        <f t="shared" si="7"/>
        <v>2706.0803999999998</v>
      </c>
      <c r="L8" s="2">
        <f t="shared" si="7"/>
        <v>2760.2020079999998</v>
      </c>
      <c r="M8" s="2">
        <f t="shared" si="2"/>
        <v>2760.2020079999998</v>
      </c>
    </row>
    <row r="9" spans="1:14" x14ac:dyDescent="0.25">
      <c r="A9" s="2">
        <v>0</v>
      </c>
      <c r="B9" s="2">
        <f t="shared" ref="B9:L9" si="8">A9*1.02</f>
        <v>0</v>
      </c>
      <c r="C9" s="2">
        <f t="shared" si="8"/>
        <v>0</v>
      </c>
      <c r="D9" s="2">
        <f t="shared" si="8"/>
        <v>0</v>
      </c>
      <c r="E9" s="2">
        <f t="shared" si="8"/>
        <v>0</v>
      </c>
      <c r="F9" s="2">
        <f t="shared" si="8"/>
        <v>0</v>
      </c>
      <c r="G9" s="2">
        <f t="shared" si="8"/>
        <v>0</v>
      </c>
      <c r="H9" s="2">
        <f>G9*1.02+2500</f>
        <v>2500</v>
      </c>
      <c r="I9" s="2">
        <f t="shared" si="8"/>
        <v>2550</v>
      </c>
      <c r="J9" s="2">
        <f t="shared" si="8"/>
        <v>2601</v>
      </c>
      <c r="K9" s="2">
        <f t="shared" si="8"/>
        <v>2653.02</v>
      </c>
      <c r="L9" s="2">
        <f t="shared" si="8"/>
        <v>2706.0803999999998</v>
      </c>
      <c r="M9" s="2">
        <f t="shared" si="2"/>
        <v>2706.0803999999998</v>
      </c>
    </row>
    <row r="10" spans="1:14" x14ac:dyDescent="0.25">
      <c r="A10" s="2">
        <v>0</v>
      </c>
      <c r="B10" s="2">
        <f t="shared" ref="B10:L10" si="9">A10*1.02</f>
        <v>0</v>
      </c>
      <c r="C10" s="2">
        <f t="shared" si="9"/>
        <v>0</v>
      </c>
      <c r="D10" s="2">
        <f t="shared" si="9"/>
        <v>0</v>
      </c>
      <c r="E10" s="2">
        <f t="shared" si="9"/>
        <v>0</v>
      </c>
      <c r="F10" s="2">
        <f t="shared" si="9"/>
        <v>0</v>
      </c>
      <c r="G10" s="2">
        <f t="shared" si="9"/>
        <v>0</v>
      </c>
      <c r="H10" s="2">
        <f t="shared" si="9"/>
        <v>0</v>
      </c>
      <c r="I10" s="2">
        <f>H10*1.02+2500</f>
        <v>2500</v>
      </c>
      <c r="J10" s="2">
        <f t="shared" si="9"/>
        <v>2550</v>
      </c>
      <c r="K10" s="2">
        <f t="shared" si="9"/>
        <v>2601</v>
      </c>
      <c r="L10" s="2">
        <f t="shared" si="9"/>
        <v>2653.02</v>
      </c>
      <c r="M10" s="2">
        <f t="shared" si="2"/>
        <v>2653.02</v>
      </c>
    </row>
    <row r="11" spans="1:14" x14ac:dyDescent="0.25">
      <c r="A11" s="2">
        <v>0</v>
      </c>
      <c r="B11" s="2">
        <f t="shared" ref="B11:L11" si="10">A11*1.02</f>
        <v>0</v>
      </c>
      <c r="C11" s="2">
        <f t="shared" si="10"/>
        <v>0</v>
      </c>
      <c r="D11" s="2">
        <f t="shared" si="10"/>
        <v>0</v>
      </c>
      <c r="E11" s="2">
        <f t="shared" si="10"/>
        <v>0</v>
      </c>
      <c r="F11" s="2">
        <f t="shared" si="10"/>
        <v>0</v>
      </c>
      <c r="G11" s="2">
        <f t="shared" si="10"/>
        <v>0</v>
      </c>
      <c r="H11" s="2">
        <f t="shared" si="10"/>
        <v>0</v>
      </c>
      <c r="I11" s="2">
        <f t="shared" si="10"/>
        <v>0</v>
      </c>
      <c r="J11" s="2">
        <f>I11*1.02+2500</f>
        <v>2500</v>
      </c>
      <c r="K11" s="2">
        <f t="shared" si="10"/>
        <v>2550</v>
      </c>
      <c r="L11" s="2">
        <f t="shared" si="10"/>
        <v>2601</v>
      </c>
      <c r="M11" s="2">
        <f t="shared" si="2"/>
        <v>2601</v>
      </c>
    </row>
    <row r="12" spans="1:14" x14ac:dyDescent="0.25">
      <c r="A12" s="2">
        <v>0</v>
      </c>
      <c r="B12" s="2">
        <f t="shared" ref="B12:L12" si="11">A12*1.02</f>
        <v>0</v>
      </c>
      <c r="C12" s="2">
        <f t="shared" si="11"/>
        <v>0</v>
      </c>
      <c r="D12" s="2">
        <f t="shared" si="11"/>
        <v>0</v>
      </c>
      <c r="E12" s="2">
        <f t="shared" si="11"/>
        <v>0</v>
      </c>
      <c r="F12" s="2">
        <f t="shared" si="11"/>
        <v>0</v>
      </c>
      <c r="G12" s="2">
        <f t="shared" si="11"/>
        <v>0</v>
      </c>
      <c r="H12" s="2">
        <f t="shared" si="11"/>
        <v>0</v>
      </c>
      <c r="I12" s="2">
        <f t="shared" si="11"/>
        <v>0</v>
      </c>
      <c r="J12" s="2">
        <f t="shared" si="11"/>
        <v>0</v>
      </c>
      <c r="K12" s="2">
        <f>J12*1.02+2500</f>
        <v>2500</v>
      </c>
      <c r="L12" s="2">
        <f t="shared" si="11"/>
        <v>2550</v>
      </c>
      <c r="M12" s="2">
        <f t="shared" si="2"/>
        <v>2550</v>
      </c>
    </row>
    <row r="13" spans="1:14" x14ac:dyDescent="0.25">
      <c r="A13" s="2">
        <v>0</v>
      </c>
      <c r="B13" s="2">
        <f t="shared" ref="B13:K13" si="12">A13*1.02</f>
        <v>0</v>
      </c>
      <c r="C13" s="2">
        <f t="shared" si="12"/>
        <v>0</v>
      </c>
      <c r="D13" s="2">
        <f t="shared" si="12"/>
        <v>0</v>
      </c>
      <c r="E13" s="2">
        <f t="shared" si="12"/>
        <v>0</v>
      </c>
      <c r="F13" s="2">
        <f t="shared" si="12"/>
        <v>0</v>
      </c>
      <c r="G13" s="2">
        <f t="shared" si="12"/>
        <v>0</v>
      </c>
      <c r="H13" s="2">
        <f t="shared" si="12"/>
        <v>0</v>
      </c>
      <c r="I13" s="2">
        <f t="shared" si="12"/>
        <v>0</v>
      </c>
      <c r="J13" s="2">
        <f t="shared" si="12"/>
        <v>0</v>
      </c>
      <c r="K13" s="2">
        <f t="shared" si="12"/>
        <v>0</v>
      </c>
      <c r="L13" s="2">
        <f>K13*1.02+2500</f>
        <v>2500</v>
      </c>
      <c r="M13" s="2">
        <f t="shared" si="2"/>
        <v>2500</v>
      </c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>
        <f>SUM(M2:M13)</f>
        <v>33530.224320318164</v>
      </c>
    </row>
    <row r="17" spans="1:14" x14ac:dyDescent="0.25">
      <c r="A17" s="1">
        <v>44197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</row>
    <row r="18" spans="1:14" x14ac:dyDescent="0.25">
      <c r="A18" s="2">
        <f>M2+2500</f>
        <v>5608.4357709866308</v>
      </c>
      <c r="B18" s="2">
        <f>A18*1.02</f>
        <v>5720.6044864063633</v>
      </c>
      <c r="C18" s="2">
        <f t="shared" ref="C18:L18" si="13">B18*1.02</f>
        <v>5835.0165761344906</v>
      </c>
      <c r="D18" s="2">
        <f t="shared" si="13"/>
        <v>5951.7169076571809</v>
      </c>
      <c r="E18" s="2">
        <f t="shared" si="13"/>
        <v>6070.7512458103247</v>
      </c>
      <c r="F18" s="2">
        <f t="shared" si="13"/>
        <v>6192.1662707265314</v>
      </c>
      <c r="G18" s="2">
        <f t="shared" si="13"/>
        <v>6316.0095961410625</v>
      </c>
      <c r="H18" s="2">
        <f t="shared" si="13"/>
        <v>6442.3297880638838</v>
      </c>
      <c r="I18" s="2">
        <f t="shared" si="13"/>
        <v>6571.1763838251618</v>
      </c>
      <c r="J18" s="2">
        <f t="shared" si="13"/>
        <v>6702.5999115016648</v>
      </c>
      <c r="K18" s="2">
        <f t="shared" si="13"/>
        <v>6836.6519097316987</v>
      </c>
      <c r="L18" s="2">
        <f t="shared" si="13"/>
        <v>6973.3849479263326</v>
      </c>
      <c r="M18" s="2">
        <f>L18</f>
        <v>6973.3849479263326</v>
      </c>
      <c r="N18">
        <f>M18/A18-1</f>
        <v>0.24337430839465268</v>
      </c>
    </row>
    <row r="19" spans="1:14" x14ac:dyDescent="0.25">
      <c r="A19" s="2">
        <f t="shared" ref="A19:A29" si="14">M3</f>
        <v>3047.4860499868928</v>
      </c>
      <c r="B19" s="2">
        <f>A19*1.02+2500</f>
        <v>5608.4357709866308</v>
      </c>
      <c r="C19" s="2">
        <f t="shared" ref="C19:L19" si="15">B19*1.02</f>
        <v>5720.6044864063633</v>
      </c>
      <c r="D19" s="2">
        <f t="shared" si="15"/>
        <v>5835.0165761344906</v>
      </c>
      <c r="E19" s="2">
        <f t="shared" si="15"/>
        <v>5951.7169076571809</v>
      </c>
      <c r="F19" s="2">
        <f t="shared" si="15"/>
        <v>6070.7512458103247</v>
      </c>
      <c r="G19" s="2">
        <f t="shared" si="15"/>
        <v>6192.1662707265314</v>
      </c>
      <c r="H19" s="2">
        <f t="shared" si="15"/>
        <v>6316.0095961410625</v>
      </c>
      <c r="I19" s="2">
        <f t="shared" si="15"/>
        <v>6442.3297880638838</v>
      </c>
      <c r="J19" s="2">
        <f t="shared" si="15"/>
        <v>6571.1763838251618</v>
      </c>
      <c r="K19" s="2">
        <f t="shared" si="15"/>
        <v>6702.5999115016648</v>
      </c>
      <c r="L19" s="2">
        <f t="shared" si="15"/>
        <v>6836.6519097316987</v>
      </c>
      <c r="M19" s="2">
        <f t="shared" ref="M19:M29" si="16">L19</f>
        <v>6836.6519097316987</v>
      </c>
    </row>
    <row r="20" spans="1:14" x14ac:dyDescent="0.25">
      <c r="A20" s="2">
        <f t="shared" si="14"/>
        <v>2987.7314215557772</v>
      </c>
      <c r="B20" s="2">
        <f t="shared" ref="B20" si="17">A20*1.02</f>
        <v>3047.4860499868928</v>
      </c>
      <c r="C20" s="2">
        <f>B20*1.02+2500</f>
        <v>5608.4357709866308</v>
      </c>
      <c r="D20" s="2">
        <f t="shared" ref="D20:L20" si="18">C20*1.02</f>
        <v>5720.6044864063633</v>
      </c>
      <c r="E20" s="2">
        <f t="shared" si="18"/>
        <v>5835.0165761344906</v>
      </c>
      <c r="F20" s="2">
        <f t="shared" si="18"/>
        <v>5951.7169076571809</v>
      </c>
      <c r="G20" s="2">
        <f t="shared" si="18"/>
        <v>6070.7512458103247</v>
      </c>
      <c r="H20" s="2">
        <f t="shared" si="18"/>
        <v>6192.1662707265314</v>
      </c>
      <c r="I20" s="2">
        <f t="shared" si="18"/>
        <v>6316.0095961410625</v>
      </c>
      <c r="J20" s="2">
        <f t="shared" si="18"/>
        <v>6442.3297880638838</v>
      </c>
      <c r="K20" s="2">
        <f t="shared" si="18"/>
        <v>6571.1763838251618</v>
      </c>
      <c r="L20" s="2">
        <f t="shared" si="18"/>
        <v>6702.5999115016648</v>
      </c>
      <c r="M20" s="2">
        <f t="shared" si="16"/>
        <v>6702.5999115016648</v>
      </c>
    </row>
    <row r="21" spans="1:14" x14ac:dyDescent="0.25">
      <c r="A21" s="2">
        <f t="shared" si="14"/>
        <v>2929.148452505664</v>
      </c>
      <c r="B21" s="2">
        <f t="shared" ref="B21:C21" si="19">A21*1.02</f>
        <v>2987.7314215557772</v>
      </c>
      <c r="C21" s="2">
        <f t="shared" si="19"/>
        <v>3047.4860499868928</v>
      </c>
      <c r="D21" s="2">
        <f>C21*1.02+2500</f>
        <v>5608.4357709866308</v>
      </c>
      <c r="E21" s="2">
        <f t="shared" ref="E21:L21" si="20">D21*1.02</f>
        <v>5720.6044864063633</v>
      </c>
      <c r="F21" s="2">
        <f t="shared" si="20"/>
        <v>5835.0165761344906</v>
      </c>
      <c r="G21" s="2">
        <f t="shared" si="20"/>
        <v>5951.7169076571809</v>
      </c>
      <c r="H21" s="2">
        <f t="shared" si="20"/>
        <v>6070.7512458103247</v>
      </c>
      <c r="I21" s="2">
        <f t="shared" si="20"/>
        <v>6192.1662707265314</v>
      </c>
      <c r="J21" s="2">
        <f t="shared" si="20"/>
        <v>6316.0095961410625</v>
      </c>
      <c r="K21" s="2">
        <f t="shared" si="20"/>
        <v>6442.3297880638838</v>
      </c>
      <c r="L21" s="2">
        <f t="shared" si="20"/>
        <v>6571.1763838251618</v>
      </c>
      <c r="M21" s="2">
        <f t="shared" si="16"/>
        <v>6571.1763838251618</v>
      </c>
    </row>
    <row r="22" spans="1:14" x14ac:dyDescent="0.25">
      <c r="A22" s="2">
        <f t="shared" si="14"/>
        <v>2871.7141691232</v>
      </c>
      <c r="B22" s="2">
        <f t="shared" ref="B22:D22" si="21">A22*1.02</f>
        <v>2929.148452505664</v>
      </c>
      <c r="C22" s="2">
        <f t="shared" si="21"/>
        <v>2987.7314215557772</v>
      </c>
      <c r="D22" s="2">
        <f t="shared" si="21"/>
        <v>3047.4860499868928</v>
      </c>
      <c r="E22" s="2">
        <f>D22*1.02+2500</f>
        <v>5608.4357709866308</v>
      </c>
      <c r="F22" s="2">
        <f t="shared" ref="F22:L22" si="22">E22*1.02</f>
        <v>5720.6044864063633</v>
      </c>
      <c r="G22" s="2">
        <f t="shared" si="22"/>
        <v>5835.0165761344906</v>
      </c>
      <c r="H22" s="2">
        <f t="shared" si="22"/>
        <v>5951.7169076571809</v>
      </c>
      <c r="I22" s="2">
        <f t="shared" si="22"/>
        <v>6070.7512458103247</v>
      </c>
      <c r="J22" s="2">
        <f t="shared" si="22"/>
        <v>6192.1662707265314</v>
      </c>
      <c r="K22" s="2">
        <f t="shared" si="22"/>
        <v>6316.0095961410625</v>
      </c>
      <c r="L22" s="2">
        <f t="shared" si="22"/>
        <v>6442.3297880638838</v>
      </c>
      <c r="M22" s="2">
        <f t="shared" si="16"/>
        <v>6442.3297880638838</v>
      </c>
    </row>
    <row r="23" spans="1:14" x14ac:dyDescent="0.25">
      <c r="A23" s="2">
        <f t="shared" si="14"/>
        <v>2815.40604816</v>
      </c>
      <c r="B23" s="2">
        <f t="shared" ref="B23:E23" si="23">A23*1.02</f>
        <v>2871.7141691232</v>
      </c>
      <c r="C23" s="2">
        <f t="shared" si="23"/>
        <v>2929.148452505664</v>
      </c>
      <c r="D23" s="2">
        <f t="shared" si="23"/>
        <v>2987.7314215557772</v>
      </c>
      <c r="E23" s="2">
        <f t="shared" si="23"/>
        <v>3047.4860499868928</v>
      </c>
      <c r="F23" s="2">
        <f>E23*1.02+2500</f>
        <v>5608.4357709866308</v>
      </c>
      <c r="G23" s="2">
        <f t="shared" ref="G23:L23" si="24">F23*1.02</f>
        <v>5720.6044864063633</v>
      </c>
      <c r="H23" s="2">
        <f t="shared" si="24"/>
        <v>5835.0165761344906</v>
      </c>
      <c r="I23" s="2">
        <f t="shared" si="24"/>
        <v>5951.7169076571809</v>
      </c>
      <c r="J23" s="2">
        <f t="shared" si="24"/>
        <v>6070.7512458103247</v>
      </c>
      <c r="K23" s="2">
        <f t="shared" si="24"/>
        <v>6192.1662707265314</v>
      </c>
      <c r="L23" s="2">
        <f t="shared" si="24"/>
        <v>6316.0095961410625</v>
      </c>
      <c r="M23" s="2">
        <f t="shared" si="16"/>
        <v>6316.0095961410625</v>
      </c>
    </row>
    <row r="24" spans="1:14" x14ac:dyDescent="0.25">
      <c r="A24" s="2">
        <f t="shared" si="14"/>
        <v>2760.2020079999998</v>
      </c>
      <c r="B24" s="2">
        <f t="shared" ref="B24:F24" si="25">A24*1.02</f>
        <v>2815.40604816</v>
      </c>
      <c r="C24" s="2">
        <f t="shared" si="25"/>
        <v>2871.7141691232</v>
      </c>
      <c r="D24" s="2">
        <f t="shared" si="25"/>
        <v>2929.148452505664</v>
      </c>
      <c r="E24" s="2">
        <f t="shared" si="25"/>
        <v>2987.7314215557772</v>
      </c>
      <c r="F24" s="2">
        <f t="shared" si="25"/>
        <v>3047.4860499868928</v>
      </c>
      <c r="G24" s="2">
        <f>F24*1.02+2500</f>
        <v>5608.4357709866308</v>
      </c>
      <c r="H24" s="2">
        <f t="shared" ref="H24:L24" si="26">G24*1.02</f>
        <v>5720.6044864063633</v>
      </c>
      <c r="I24" s="2">
        <f t="shared" si="26"/>
        <v>5835.0165761344906</v>
      </c>
      <c r="J24" s="2">
        <f t="shared" si="26"/>
        <v>5951.7169076571809</v>
      </c>
      <c r="K24" s="2">
        <f t="shared" si="26"/>
        <v>6070.7512458103247</v>
      </c>
      <c r="L24" s="2">
        <f t="shared" si="26"/>
        <v>6192.1662707265314</v>
      </c>
      <c r="M24" s="2">
        <f t="shared" si="16"/>
        <v>6192.1662707265314</v>
      </c>
    </row>
    <row r="25" spans="1:14" x14ac:dyDescent="0.25">
      <c r="A25" s="2">
        <f t="shared" si="14"/>
        <v>2706.0803999999998</v>
      </c>
      <c r="B25" s="2">
        <f t="shared" ref="B25:G25" si="27">A25*1.02</f>
        <v>2760.2020079999998</v>
      </c>
      <c r="C25" s="2">
        <f t="shared" si="27"/>
        <v>2815.40604816</v>
      </c>
      <c r="D25" s="2">
        <f t="shared" si="27"/>
        <v>2871.7141691232</v>
      </c>
      <c r="E25" s="2">
        <f t="shared" si="27"/>
        <v>2929.148452505664</v>
      </c>
      <c r="F25" s="2">
        <f t="shared" si="27"/>
        <v>2987.7314215557772</v>
      </c>
      <c r="G25" s="2">
        <f t="shared" si="27"/>
        <v>3047.4860499868928</v>
      </c>
      <c r="H25" s="2">
        <f>G25*1.02+2500</f>
        <v>5608.4357709866308</v>
      </c>
      <c r="I25" s="2">
        <f t="shared" ref="I25:L25" si="28">H25*1.02</f>
        <v>5720.6044864063633</v>
      </c>
      <c r="J25" s="2">
        <f t="shared" si="28"/>
        <v>5835.0165761344906</v>
      </c>
      <c r="K25" s="2">
        <f t="shared" si="28"/>
        <v>5951.7169076571809</v>
      </c>
      <c r="L25" s="2">
        <f t="shared" si="28"/>
        <v>6070.7512458103247</v>
      </c>
      <c r="M25" s="2">
        <f t="shared" si="16"/>
        <v>6070.7512458103247</v>
      </c>
    </row>
    <row r="26" spans="1:14" x14ac:dyDescent="0.25">
      <c r="A26" s="2">
        <f t="shared" si="14"/>
        <v>2653.02</v>
      </c>
      <c r="B26" s="2">
        <f t="shared" ref="B26:H26" si="29">A26*1.02</f>
        <v>2706.0803999999998</v>
      </c>
      <c r="C26" s="2">
        <f t="shared" si="29"/>
        <v>2760.2020079999998</v>
      </c>
      <c r="D26" s="2">
        <f t="shared" si="29"/>
        <v>2815.40604816</v>
      </c>
      <c r="E26" s="2">
        <f t="shared" si="29"/>
        <v>2871.7141691232</v>
      </c>
      <c r="F26" s="2">
        <f t="shared" si="29"/>
        <v>2929.148452505664</v>
      </c>
      <c r="G26" s="2">
        <f t="shared" si="29"/>
        <v>2987.7314215557772</v>
      </c>
      <c r="H26" s="2">
        <f t="shared" si="29"/>
        <v>3047.4860499868928</v>
      </c>
      <c r="I26" s="2">
        <f>H26*1.02+2500</f>
        <v>5608.4357709866308</v>
      </c>
      <c r="J26" s="2">
        <f t="shared" ref="J26:L26" si="30">I26*1.02</f>
        <v>5720.6044864063633</v>
      </c>
      <c r="K26" s="2">
        <f t="shared" si="30"/>
        <v>5835.0165761344906</v>
      </c>
      <c r="L26" s="2">
        <f t="shared" si="30"/>
        <v>5951.7169076571809</v>
      </c>
      <c r="M26" s="2">
        <f t="shared" si="16"/>
        <v>5951.7169076571809</v>
      </c>
    </row>
    <row r="27" spans="1:14" x14ac:dyDescent="0.25">
      <c r="A27" s="2">
        <f t="shared" si="14"/>
        <v>2601</v>
      </c>
      <c r="B27" s="2">
        <f t="shared" ref="B27:I27" si="31">A27*1.02</f>
        <v>2653.02</v>
      </c>
      <c r="C27" s="2">
        <f t="shared" si="31"/>
        <v>2706.0803999999998</v>
      </c>
      <c r="D27" s="2">
        <f t="shared" si="31"/>
        <v>2760.2020079999998</v>
      </c>
      <c r="E27" s="2">
        <f t="shared" si="31"/>
        <v>2815.40604816</v>
      </c>
      <c r="F27" s="2">
        <f t="shared" si="31"/>
        <v>2871.7141691232</v>
      </c>
      <c r="G27" s="2">
        <f t="shared" si="31"/>
        <v>2929.148452505664</v>
      </c>
      <c r="H27" s="2">
        <f t="shared" si="31"/>
        <v>2987.7314215557772</v>
      </c>
      <c r="I27" s="2">
        <f t="shared" si="31"/>
        <v>3047.4860499868928</v>
      </c>
      <c r="J27" s="2">
        <f>I27*1.02+2500</f>
        <v>5608.4357709866308</v>
      </c>
      <c r="K27" s="2">
        <f t="shared" ref="K27:L27" si="32">J27*1.02</f>
        <v>5720.6044864063633</v>
      </c>
      <c r="L27" s="2">
        <f t="shared" si="32"/>
        <v>5835.0165761344906</v>
      </c>
      <c r="M27" s="2">
        <f t="shared" si="16"/>
        <v>5835.0165761344906</v>
      </c>
    </row>
    <row r="28" spans="1:14" x14ac:dyDescent="0.25">
      <c r="A28" s="2">
        <f t="shared" si="14"/>
        <v>2550</v>
      </c>
      <c r="B28" s="2">
        <f t="shared" ref="B28:J28" si="33">A28*1.02</f>
        <v>2601</v>
      </c>
      <c r="C28" s="2">
        <f t="shared" si="33"/>
        <v>2653.02</v>
      </c>
      <c r="D28" s="2">
        <f t="shared" si="33"/>
        <v>2706.0803999999998</v>
      </c>
      <c r="E28" s="2">
        <f t="shared" si="33"/>
        <v>2760.2020079999998</v>
      </c>
      <c r="F28" s="2">
        <f t="shared" si="33"/>
        <v>2815.40604816</v>
      </c>
      <c r="G28" s="2">
        <f t="shared" si="33"/>
        <v>2871.7141691232</v>
      </c>
      <c r="H28" s="2">
        <f t="shared" si="33"/>
        <v>2929.148452505664</v>
      </c>
      <c r="I28" s="2">
        <f t="shared" si="33"/>
        <v>2987.7314215557772</v>
      </c>
      <c r="J28" s="2">
        <f t="shared" si="33"/>
        <v>3047.4860499868928</v>
      </c>
      <c r="K28" s="2">
        <f>J28*1.02+2500</f>
        <v>5608.4357709866308</v>
      </c>
      <c r="L28" s="2">
        <f t="shared" ref="L28" si="34">K28*1.02</f>
        <v>5720.6044864063633</v>
      </c>
      <c r="M28" s="2">
        <f t="shared" si="16"/>
        <v>5720.6044864063633</v>
      </c>
    </row>
    <row r="29" spans="1:14" x14ac:dyDescent="0.25">
      <c r="A29" s="2">
        <f t="shared" si="14"/>
        <v>2500</v>
      </c>
      <c r="B29" s="2">
        <f t="shared" ref="B29:K29" si="35">A29*1.02</f>
        <v>2550</v>
      </c>
      <c r="C29" s="2">
        <f t="shared" si="35"/>
        <v>2601</v>
      </c>
      <c r="D29" s="2">
        <f t="shared" si="35"/>
        <v>2653.02</v>
      </c>
      <c r="E29" s="2">
        <f t="shared" si="35"/>
        <v>2706.0803999999998</v>
      </c>
      <c r="F29" s="2">
        <f t="shared" si="35"/>
        <v>2760.2020079999998</v>
      </c>
      <c r="G29" s="2">
        <f t="shared" si="35"/>
        <v>2815.40604816</v>
      </c>
      <c r="H29" s="2">
        <f t="shared" si="35"/>
        <v>2871.7141691232</v>
      </c>
      <c r="I29" s="2">
        <f t="shared" si="35"/>
        <v>2929.148452505664</v>
      </c>
      <c r="J29" s="2">
        <f t="shared" si="35"/>
        <v>2987.7314215557772</v>
      </c>
      <c r="K29" s="2">
        <f t="shared" si="35"/>
        <v>3047.4860499868928</v>
      </c>
      <c r="L29" s="2">
        <f>K29*1.02+2500</f>
        <v>5608.4357709866308</v>
      </c>
      <c r="M29" s="2">
        <f t="shared" si="16"/>
        <v>5608.4357709866308</v>
      </c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>
        <f>SUM(M18:M29)</f>
        <v>75220.843794911329</v>
      </c>
    </row>
    <row r="33" spans="1:14" x14ac:dyDescent="0.25">
      <c r="A33" s="1">
        <v>44562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10</v>
      </c>
    </row>
    <row r="34" spans="1:14" x14ac:dyDescent="0.25">
      <c r="A34" s="2">
        <f>M18+2500</f>
        <v>9473.3849479263336</v>
      </c>
      <c r="B34" s="2">
        <f>A34*1.02</f>
        <v>9662.8526468848595</v>
      </c>
      <c r="C34" s="2">
        <f t="shared" ref="C34:L34" si="36">B34*1.02</f>
        <v>9856.1096998225566</v>
      </c>
      <c r="D34" s="2">
        <f t="shared" si="36"/>
        <v>10053.231893819007</v>
      </c>
      <c r="E34" s="2">
        <f t="shared" si="36"/>
        <v>10254.296531695387</v>
      </c>
      <c r="F34" s="2">
        <f t="shared" si="36"/>
        <v>10459.382462329295</v>
      </c>
      <c r="G34" s="2">
        <f t="shared" si="36"/>
        <v>10668.57011157588</v>
      </c>
      <c r="H34" s="2">
        <f t="shared" si="36"/>
        <v>10881.941513807398</v>
      </c>
      <c r="I34" s="2">
        <f t="shared" si="36"/>
        <v>11099.580344083546</v>
      </c>
      <c r="J34" s="2">
        <f t="shared" si="36"/>
        <v>11321.571950965217</v>
      </c>
      <c r="K34" s="2">
        <f t="shared" si="36"/>
        <v>11548.003389984522</v>
      </c>
      <c r="L34" s="2">
        <f t="shared" si="36"/>
        <v>11778.963457784213</v>
      </c>
      <c r="M34" s="2">
        <f>L34</f>
        <v>11778.963457784213</v>
      </c>
      <c r="N34">
        <f>M34/A34-1</f>
        <v>0.24337430839465224</v>
      </c>
    </row>
    <row r="35" spans="1:14" x14ac:dyDescent="0.25">
      <c r="A35" s="2">
        <f t="shared" ref="A35:A45" si="37">M19</f>
        <v>6836.6519097316987</v>
      </c>
      <c r="B35" s="2">
        <f>A35*1.02+2500</f>
        <v>9473.3849479263336</v>
      </c>
      <c r="C35" s="2">
        <f t="shared" ref="C35:L35" si="38">B35*1.02</f>
        <v>9662.8526468848595</v>
      </c>
      <c r="D35" s="2">
        <f t="shared" si="38"/>
        <v>9856.1096998225566</v>
      </c>
      <c r="E35" s="2">
        <f t="shared" si="38"/>
        <v>10053.231893819007</v>
      </c>
      <c r="F35" s="2">
        <f t="shared" si="38"/>
        <v>10254.296531695387</v>
      </c>
      <c r="G35" s="2">
        <f t="shared" si="38"/>
        <v>10459.382462329295</v>
      </c>
      <c r="H35" s="2">
        <f t="shared" si="38"/>
        <v>10668.57011157588</v>
      </c>
      <c r="I35" s="2">
        <f t="shared" si="38"/>
        <v>10881.941513807398</v>
      </c>
      <c r="J35" s="2">
        <f t="shared" si="38"/>
        <v>11099.580344083546</v>
      </c>
      <c r="K35" s="2">
        <f t="shared" si="38"/>
        <v>11321.571950965217</v>
      </c>
      <c r="L35" s="2">
        <f t="shared" si="38"/>
        <v>11548.003389984522</v>
      </c>
      <c r="M35" s="2">
        <f t="shared" ref="M35:M45" si="39">L35</f>
        <v>11548.003389984522</v>
      </c>
    </row>
    <row r="36" spans="1:14" x14ac:dyDescent="0.25">
      <c r="A36" s="2">
        <f t="shared" si="37"/>
        <v>6702.5999115016648</v>
      </c>
      <c r="B36" s="2">
        <f t="shared" ref="B36" si="40">A36*1.02</f>
        <v>6836.6519097316987</v>
      </c>
      <c r="C36" s="2">
        <f>B36*1.02+2500</f>
        <v>9473.3849479263336</v>
      </c>
      <c r="D36" s="2">
        <f t="shared" ref="D36:L36" si="41">C36*1.02</f>
        <v>9662.8526468848595</v>
      </c>
      <c r="E36" s="2">
        <f t="shared" si="41"/>
        <v>9856.1096998225566</v>
      </c>
      <c r="F36" s="2">
        <f t="shared" si="41"/>
        <v>10053.231893819007</v>
      </c>
      <c r="G36" s="2">
        <f t="shared" si="41"/>
        <v>10254.296531695387</v>
      </c>
      <c r="H36" s="2">
        <f t="shared" si="41"/>
        <v>10459.382462329295</v>
      </c>
      <c r="I36" s="2">
        <f t="shared" si="41"/>
        <v>10668.57011157588</v>
      </c>
      <c r="J36" s="2">
        <f t="shared" si="41"/>
        <v>10881.941513807398</v>
      </c>
      <c r="K36" s="2">
        <f t="shared" si="41"/>
        <v>11099.580344083546</v>
      </c>
      <c r="L36" s="2">
        <f t="shared" si="41"/>
        <v>11321.571950965217</v>
      </c>
      <c r="M36" s="2">
        <f t="shared" si="39"/>
        <v>11321.571950965217</v>
      </c>
    </row>
    <row r="37" spans="1:14" x14ac:dyDescent="0.25">
      <c r="A37" s="2">
        <f t="shared" si="37"/>
        <v>6571.1763838251618</v>
      </c>
      <c r="B37" s="2">
        <f t="shared" ref="B37:C37" si="42">A37*1.02</f>
        <v>6702.5999115016648</v>
      </c>
      <c r="C37" s="2">
        <f t="shared" si="42"/>
        <v>6836.6519097316987</v>
      </c>
      <c r="D37" s="2">
        <f>C37*1.02+2500</f>
        <v>9473.3849479263336</v>
      </c>
      <c r="E37" s="2">
        <f t="shared" ref="E37:L37" si="43">D37*1.02</f>
        <v>9662.8526468848595</v>
      </c>
      <c r="F37" s="2">
        <f t="shared" si="43"/>
        <v>9856.1096998225566</v>
      </c>
      <c r="G37" s="2">
        <f t="shared" si="43"/>
        <v>10053.231893819007</v>
      </c>
      <c r="H37" s="2">
        <f t="shared" si="43"/>
        <v>10254.296531695387</v>
      </c>
      <c r="I37" s="2">
        <f t="shared" si="43"/>
        <v>10459.382462329295</v>
      </c>
      <c r="J37" s="2">
        <f t="shared" si="43"/>
        <v>10668.57011157588</v>
      </c>
      <c r="K37" s="2">
        <f t="shared" si="43"/>
        <v>10881.941513807398</v>
      </c>
      <c r="L37" s="2">
        <f t="shared" si="43"/>
        <v>11099.580344083546</v>
      </c>
      <c r="M37" s="2">
        <f t="shared" si="39"/>
        <v>11099.580344083546</v>
      </c>
    </row>
    <row r="38" spans="1:14" x14ac:dyDescent="0.25">
      <c r="A38" s="2">
        <f t="shared" si="37"/>
        <v>6442.3297880638838</v>
      </c>
      <c r="B38" s="2">
        <f t="shared" ref="B38:D38" si="44">A38*1.02</f>
        <v>6571.1763838251618</v>
      </c>
      <c r="C38" s="2">
        <f t="shared" si="44"/>
        <v>6702.5999115016648</v>
      </c>
      <c r="D38" s="2">
        <f t="shared" si="44"/>
        <v>6836.6519097316987</v>
      </c>
      <c r="E38" s="2">
        <f>D38*1.02+2500</f>
        <v>9473.3849479263336</v>
      </c>
      <c r="F38" s="2">
        <f t="shared" ref="F38:L38" si="45">E38*1.02</f>
        <v>9662.8526468848595</v>
      </c>
      <c r="G38" s="2">
        <f t="shared" si="45"/>
        <v>9856.1096998225566</v>
      </c>
      <c r="H38" s="2">
        <f t="shared" si="45"/>
        <v>10053.231893819007</v>
      </c>
      <c r="I38" s="2">
        <f t="shared" si="45"/>
        <v>10254.296531695387</v>
      </c>
      <c r="J38" s="2">
        <f t="shared" si="45"/>
        <v>10459.382462329295</v>
      </c>
      <c r="K38" s="2">
        <f t="shared" si="45"/>
        <v>10668.57011157588</v>
      </c>
      <c r="L38" s="2">
        <f t="shared" si="45"/>
        <v>10881.941513807398</v>
      </c>
      <c r="M38" s="2">
        <f t="shared" si="39"/>
        <v>10881.941513807398</v>
      </c>
    </row>
    <row r="39" spans="1:14" x14ac:dyDescent="0.25">
      <c r="A39" s="2">
        <f t="shared" si="37"/>
        <v>6316.0095961410625</v>
      </c>
      <c r="B39" s="2">
        <f t="shared" ref="B39:E39" si="46">A39*1.02</f>
        <v>6442.3297880638838</v>
      </c>
      <c r="C39" s="2">
        <f t="shared" si="46"/>
        <v>6571.1763838251618</v>
      </c>
      <c r="D39" s="2">
        <f t="shared" si="46"/>
        <v>6702.5999115016648</v>
      </c>
      <c r="E39" s="2">
        <f t="shared" si="46"/>
        <v>6836.6519097316987</v>
      </c>
      <c r="F39" s="2">
        <f>E39*1.02+2500</f>
        <v>9473.3849479263336</v>
      </c>
      <c r="G39" s="2">
        <f t="shared" ref="G39:L39" si="47">F39*1.02</f>
        <v>9662.8526468848595</v>
      </c>
      <c r="H39" s="2">
        <f t="shared" si="47"/>
        <v>9856.1096998225566</v>
      </c>
      <c r="I39" s="2">
        <f t="shared" si="47"/>
        <v>10053.231893819007</v>
      </c>
      <c r="J39" s="2">
        <f t="shared" si="47"/>
        <v>10254.296531695387</v>
      </c>
      <c r="K39" s="2">
        <f t="shared" si="47"/>
        <v>10459.382462329295</v>
      </c>
      <c r="L39" s="2">
        <f t="shared" si="47"/>
        <v>10668.57011157588</v>
      </c>
      <c r="M39" s="2">
        <f t="shared" si="39"/>
        <v>10668.57011157588</v>
      </c>
    </row>
    <row r="40" spans="1:14" x14ac:dyDescent="0.25">
      <c r="A40" s="2">
        <f t="shared" si="37"/>
        <v>6192.1662707265314</v>
      </c>
      <c r="B40" s="2">
        <f t="shared" ref="B40:F40" si="48">A40*1.02</f>
        <v>6316.0095961410625</v>
      </c>
      <c r="C40" s="2">
        <f t="shared" si="48"/>
        <v>6442.3297880638838</v>
      </c>
      <c r="D40" s="2">
        <f t="shared" si="48"/>
        <v>6571.1763838251618</v>
      </c>
      <c r="E40" s="2">
        <f t="shared" si="48"/>
        <v>6702.5999115016648</v>
      </c>
      <c r="F40" s="2">
        <f t="shared" si="48"/>
        <v>6836.6519097316987</v>
      </c>
      <c r="G40" s="2">
        <f>F40*1.02+2500</f>
        <v>9473.3849479263336</v>
      </c>
      <c r="H40" s="2">
        <f t="shared" ref="H40:L40" si="49">G40*1.02</f>
        <v>9662.8526468848595</v>
      </c>
      <c r="I40" s="2">
        <f t="shared" si="49"/>
        <v>9856.1096998225566</v>
      </c>
      <c r="J40" s="2">
        <f t="shared" si="49"/>
        <v>10053.231893819007</v>
      </c>
      <c r="K40" s="2">
        <f t="shared" si="49"/>
        <v>10254.296531695387</v>
      </c>
      <c r="L40" s="2">
        <f t="shared" si="49"/>
        <v>10459.382462329295</v>
      </c>
      <c r="M40" s="2">
        <f t="shared" si="39"/>
        <v>10459.382462329295</v>
      </c>
    </row>
    <row r="41" spans="1:14" x14ac:dyDescent="0.25">
      <c r="A41" s="2">
        <f t="shared" si="37"/>
        <v>6070.7512458103247</v>
      </c>
      <c r="B41" s="2">
        <f t="shared" ref="B41:G41" si="50">A41*1.02</f>
        <v>6192.1662707265314</v>
      </c>
      <c r="C41" s="2">
        <f t="shared" si="50"/>
        <v>6316.0095961410625</v>
      </c>
      <c r="D41" s="2">
        <f t="shared" si="50"/>
        <v>6442.3297880638838</v>
      </c>
      <c r="E41" s="2">
        <f t="shared" si="50"/>
        <v>6571.1763838251618</v>
      </c>
      <c r="F41" s="2">
        <f t="shared" si="50"/>
        <v>6702.5999115016648</v>
      </c>
      <c r="G41" s="2">
        <f t="shared" si="50"/>
        <v>6836.6519097316987</v>
      </c>
      <c r="H41" s="2">
        <f>G41*1.02+2500</f>
        <v>9473.3849479263336</v>
      </c>
      <c r="I41" s="2">
        <f t="shared" ref="I41:L41" si="51">H41*1.02</f>
        <v>9662.8526468848595</v>
      </c>
      <c r="J41" s="2">
        <f t="shared" si="51"/>
        <v>9856.1096998225566</v>
      </c>
      <c r="K41" s="2">
        <f t="shared" si="51"/>
        <v>10053.231893819007</v>
      </c>
      <c r="L41" s="2">
        <f t="shared" si="51"/>
        <v>10254.296531695387</v>
      </c>
      <c r="M41" s="2">
        <f t="shared" si="39"/>
        <v>10254.296531695387</v>
      </c>
    </row>
    <row r="42" spans="1:14" x14ac:dyDescent="0.25">
      <c r="A42" s="2">
        <f t="shared" si="37"/>
        <v>5951.7169076571809</v>
      </c>
      <c r="B42" s="2">
        <f t="shared" ref="B42:H42" si="52">A42*1.02</f>
        <v>6070.7512458103247</v>
      </c>
      <c r="C42" s="2">
        <f t="shared" si="52"/>
        <v>6192.1662707265314</v>
      </c>
      <c r="D42" s="2">
        <f t="shared" si="52"/>
        <v>6316.0095961410625</v>
      </c>
      <c r="E42" s="2">
        <f t="shared" si="52"/>
        <v>6442.3297880638838</v>
      </c>
      <c r="F42" s="2">
        <f t="shared" si="52"/>
        <v>6571.1763838251618</v>
      </c>
      <c r="G42" s="2">
        <f t="shared" si="52"/>
        <v>6702.5999115016648</v>
      </c>
      <c r="H42" s="2">
        <f t="shared" si="52"/>
        <v>6836.6519097316987</v>
      </c>
      <c r="I42" s="2">
        <f>H42*1.02+2500</f>
        <v>9473.3849479263336</v>
      </c>
      <c r="J42" s="2">
        <f t="shared" ref="J42:L42" si="53">I42*1.02</f>
        <v>9662.8526468848595</v>
      </c>
      <c r="K42" s="2">
        <f t="shared" si="53"/>
        <v>9856.1096998225566</v>
      </c>
      <c r="L42" s="2">
        <f t="shared" si="53"/>
        <v>10053.231893819007</v>
      </c>
      <c r="M42" s="2">
        <f t="shared" si="39"/>
        <v>10053.231893819007</v>
      </c>
    </row>
    <row r="43" spans="1:14" x14ac:dyDescent="0.25">
      <c r="A43" s="2">
        <f t="shared" si="37"/>
        <v>5835.0165761344906</v>
      </c>
      <c r="B43" s="2">
        <f t="shared" ref="B43:I43" si="54">A43*1.02</f>
        <v>5951.7169076571809</v>
      </c>
      <c r="C43" s="2">
        <f t="shared" si="54"/>
        <v>6070.7512458103247</v>
      </c>
      <c r="D43" s="2">
        <f t="shared" si="54"/>
        <v>6192.1662707265314</v>
      </c>
      <c r="E43" s="2">
        <f t="shared" si="54"/>
        <v>6316.0095961410625</v>
      </c>
      <c r="F43" s="2">
        <f t="shared" si="54"/>
        <v>6442.3297880638838</v>
      </c>
      <c r="G43" s="2">
        <f t="shared" si="54"/>
        <v>6571.1763838251618</v>
      </c>
      <c r="H43" s="2">
        <f t="shared" si="54"/>
        <v>6702.5999115016648</v>
      </c>
      <c r="I43" s="2">
        <f t="shared" si="54"/>
        <v>6836.6519097316987</v>
      </c>
      <c r="J43" s="2">
        <f>I43*1.02+2500</f>
        <v>9473.3849479263336</v>
      </c>
      <c r="K43" s="2">
        <f t="shared" ref="K43:L44" si="55">J43*1.02</f>
        <v>9662.8526468848595</v>
      </c>
      <c r="L43" s="2">
        <f t="shared" si="55"/>
        <v>9856.1096998225566</v>
      </c>
      <c r="M43" s="2">
        <f t="shared" si="39"/>
        <v>9856.1096998225566</v>
      </c>
    </row>
    <row r="44" spans="1:14" x14ac:dyDescent="0.25">
      <c r="A44" s="2">
        <f t="shared" si="37"/>
        <v>5720.6044864063633</v>
      </c>
      <c r="B44" s="2">
        <f t="shared" ref="B44:J44" si="56">A44*1.02</f>
        <v>5835.0165761344906</v>
      </c>
      <c r="C44" s="2">
        <f t="shared" si="56"/>
        <v>5951.7169076571809</v>
      </c>
      <c r="D44" s="2">
        <f t="shared" si="56"/>
        <v>6070.7512458103247</v>
      </c>
      <c r="E44" s="2">
        <f t="shared" si="56"/>
        <v>6192.1662707265314</v>
      </c>
      <c r="F44" s="2">
        <f t="shared" si="56"/>
        <v>6316.0095961410625</v>
      </c>
      <c r="G44" s="2">
        <f t="shared" si="56"/>
        <v>6442.3297880638838</v>
      </c>
      <c r="H44" s="2">
        <f t="shared" si="56"/>
        <v>6571.1763838251618</v>
      </c>
      <c r="I44" s="2">
        <f t="shared" si="56"/>
        <v>6702.5999115016648</v>
      </c>
      <c r="J44" s="2">
        <f t="shared" si="56"/>
        <v>6836.6519097316987</v>
      </c>
      <c r="K44" s="2">
        <f>J44*1.02+2500</f>
        <v>9473.3849479263336</v>
      </c>
      <c r="L44" s="2">
        <f t="shared" si="55"/>
        <v>9662.8526468848595</v>
      </c>
      <c r="M44" s="2">
        <f t="shared" si="39"/>
        <v>9662.8526468848595</v>
      </c>
    </row>
    <row r="45" spans="1:14" x14ac:dyDescent="0.25">
      <c r="A45" s="2">
        <f t="shared" si="37"/>
        <v>5608.4357709866308</v>
      </c>
      <c r="B45" s="2">
        <f t="shared" ref="B45:K45" si="57">A45*1.02</f>
        <v>5720.6044864063633</v>
      </c>
      <c r="C45" s="2">
        <f t="shared" si="57"/>
        <v>5835.0165761344906</v>
      </c>
      <c r="D45" s="2">
        <f t="shared" si="57"/>
        <v>5951.7169076571809</v>
      </c>
      <c r="E45" s="2">
        <f t="shared" si="57"/>
        <v>6070.7512458103247</v>
      </c>
      <c r="F45" s="2">
        <f t="shared" si="57"/>
        <v>6192.1662707265314</v>
      </c>
      <c r="G45" s="2">
        <f t="shared" si="57"/>
        <v>6316.0095961410625</v>
      </c>
      <c r="H45" s="2">
        <f t="shared" si="57"/>
        <v>6442.3297880638838</v>
      </c>
      <c r="I45" s="2">
        <f t="shared" si="57"/>
        <v>6571.1763838251618</v>
      </c>
      <c r="J45" s="2">
        <f t="shared" si="57"/>
        <v>6702.5999115016648</v>
      </c>
      <c r="K45" s="2">
        <f t="shared" si="57"/>
        <v>6836.6519097316987</v>
      </c>
      <c r="L45" s="2">
        <f>K45*1.02+2500</f>
        <v>9473.3849479263336</v>
      </c>
      <c r="M45" s="2">
        <f t="shared" si="39"/>
        <v>9473.3849479263336</v>
      </c>
    </row>
    <row r="46" spans="1:1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>
        <f>SUM(M34:M45)</f>
        <v>127057.8889506782</v>
      </c>
    </row>
    <row r="49" spans="1:14" x14ac:dyDescent="0.25">
      <c r="A49" s="1">
        <v>44927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10</v>
      </c>
    </row>
    <row r="50" spans="1:14" x14ac:dyDescent="0.25">
      <c r="A50" s="2">
        <f>M34+2500</f>
        <v>14278.963457784213</v>
      </c>
      <c r="B50" s="2">
        <f>A50*1.02</f>
        <v>14564.542726939899</v>
      </c>
      <c r="C50" s="2">
        <f t="shared" ref="C50:L50" si="58">B50*1.02</f>
        <v>14855.833581478697</v>
      </c>
      <c r="D50" s="2">
        <f t="shared" si="58"/>
        <v>15152.950253108271</v>
      </c>
      <c r="E50" s="2">
        <f t="shared" si="58"/>
        <v>15456.009258170436</v>
      </c>
      <c r="F50" s="2">
        <f t="shared" si="58"/>
        <v>15765.129443333844</v>
      </c>
      <c r="G50" s="2">
        <f t="shared" si="58"/>
        <v>16080.432032200522</v>
      </c>
      <c r="H50" s="2">
        <f t="shared" si="58"/>
        <v>16402.040672844534</v>
      </c>
      <c r="I50" s="2">
        <f t="shared" si="58"/>
        <v>16730.081486301424</v>
      </c>
      <c r="J50" s="2">
        <f t="shared" si="58"/>
        <v>17064.683116027452</v>
      </c>
      <c r="K50" s="2">
        <f t="shared" si="58"/>
        <v>17405.976778348002</v>
      </c>
      <c r="L50" s="2">
        <f t="shared" si="58"/>
        <v>17754.096313914961</v>
      </c>
      <c r="M50" s="2">
        <f>L50</f>
        <v>17754.096313914961</v>
      </c>
      <c r="N50">
        <f>M50/A50-1</f>
        <v>0.24337430839465246</v>
      </c>
    </row>
    <row r="51" spans="1:14" x14ac:dyDescent="0.25">
      <c r="A51" s="2">
        <f t="shared" ref="A51:A61" si="59">M35</f>
        <v>11548.003389984522</v>
      </c>
      <c r="B51" s="2">
        <f>A51*1.02+2500</f>
        <v>14278.963457784213</v>
      </c>
      <c r="C51" s="2">
        <f t="shared" ref="C51:L51" si="60">B51*1.02</f>
        <v>14564.542726939899</v>
      </c>
      <c r="D51" s="2">
        <f t="shared" si="60"/>
        <v>14855.833581478697</v>
      </c>
      <c r="E51" s="2">
        <f t="shared" si="60"/>
        <v>15152.950253108271</v>
      </c>
      <c r="F51" s="2">
        <f t="shared" si="60"/>
        <v>15456.009258170436</v>
      </c>
      <c r="G51" s="2">
        <f t="shared" si="60"/>
        <v>15765.129443333844</v>
      </c>
      <c r="H51" s="2">
        <f t="shared" si="60"/>
        <v>16080.432032200522</v>
      </c>
      <c r="I51" s="2">
        <f t="shared" si="60"/>
        <v>16402.040672844534</v>
      </c>
      <c r="J51" s="2">
        <f t="shared" si="60"/>
        <v>16730.081486301424</v>
      </c>
      <c r="K51" s="2">
        <f t="shared" si="60"/>
        <v>17064.683116027452</v>
      </c>
      <c r="L51" s="2">
        <f t="shared" si="60"/>
        <v>17405.976778348002</v>
      </c>
      <c r="M51" s="2">
        <f t="shared" ref="M51:M61" si="61">L51</f>
        <v>17405.976778348002</v>
      </c>
    </row>
    <row r="52" spans="1:14" x14ac:dyDescent="0.25">
      <c r="A52" s="2">
        <f t="shared" si="59"/>
        <v>11321.571950965217</v>
      </c>
      <c r="B52" s="2">
        <f t="shared" ref="B52" si="62">A52*1.02</f>
        <v>11548.003389984522</v>
      </c>
      <c r="C52" s="2">
        <f>B52*1.02+2500</f>
        <v>14278.963457784213</v>
      </c>
      <c r="D52" s="2">
        <f t="shared" ref="D52:L52" si="63">C52*1.02</f>
        <v>14564.542726939899</v>
      </c>
      <c r="E52" s="2">
        <f t="shared" si="63"/>
        <v>14855.833581478697</v>
      </c>
      <c r="F52" s="2">
        <f t="shared" si="63"/>
        <v>15152.950253108271</v>
      </c>
      <c r="G52" s="2">
        <f t="shared" si="63"/>
        <v>15456.009258170436</v>
      </c>
      <c r="H52" s="2">
        <f t="shared" si="63"/>
        <v>15765.129443333844</v>
      </c>
      <c r="I52" s="2">
        <f t="shared" si="63"/>
        <v>16080.432032200522</v>
      </c>
      <c r="J52" s="2">
        <f t="shared" si="63"/>
        <v>16402.040672844534</v>
      </c>
      <c r="K52" s="2">
        <f t="shared" si="63"/>
        <v>16730.081486301424</v>
      </c>
      <c r="L52" s="2">
        <f t="shared" si="63"/>
        <v>17064.683116027452</v>
      </c>
      <c r="M52" s="2">
        <f t="shared" si="61"/>
        <v>17064.683116027452</v>
      </c>
    </row>
    <row r="53" spans="1:14" x14ac:dyDescent="0.25">
      <c r="A53" s="2">
        <f t="shared" si="59"/>
        <v>11099.580344083546</v>
      </c>
      <c r="B53" s="2">
        <f t="shared" ref="B53:C53" si="64">A53*1.02</f>
        <v>11321.571950965217</v>
      </c>
      <c r="C53" s="2">
        <f t="shared" si="64"/>
        <v>11548.003389984522</v>
      </c>
      <c r="D53" s="2">
        <f>C53*1.02+2500</f>
        <v>14278.963457784213</v>
      </c>
      <c r="E53" s="2">
        <f t="shared" ref="E53:L53" si="65">D53*1.02</f>
        <v>14564.542726939899</v>
      </c>
      <c r="F53" s="2">
        <f t="shared" si="65"/>
        <v>14855.833581478697</v>
      </c>
      <c r="G53" s="2">
        <f t="shared" si="65"/>
        <v>15152.950253108271</v>
      </c>
      <c r="H53" s="2">
        <f t="shared" si="65"/>
        <v>15456.009258170436</v>
      </c>
      <c r="I53" s="2">
        <f t="shared" si="65"/>
        <v>15765.129443333844</v>
      </c>
      <c r="J53" s="2">
        <f t="shared" si="65"/>
        <v>16080.432032200522</v>
      </c>
      <c r="K53" s="2">
        <f t="shared" si="65"/>
        <v>16402.040672844534</v>
      </c>
      <c r="L53" s="2">
        <f t="shared" si="65"/>
        <v>16730.081486301424</v>
      </c>
      <c r="M53" s="2">
        <f t="shared" si="61"/>
        <v>16730.081486301424</v>
      </c>
    </row>
    <row r="54" spans="1:14" x14ac:dyDescent="0.25">
      <c r="A54" s="2">
        <f t="shared" si="59"/>
        <v>10881.941513807398</v>
      </c>
      <c r="B54" s="2">
        <f t="shared" ref="B54:D54" si="66">A54*1.02</f>
        <v>11099.580344083546</v>
      </c>
      <c r="C54" s="2">
        <f t="shared" si="66"/>
        <v>11321.571950965217</v>
      </c>
      <c r="D54" s="2">
        <f t="shared" si="66"/>
        <v>11548.003389984522</v>
      </c>
      <c r="E54" s="2">
        <f>D54*1.02+2500</f>
        <v>14278.963457784213</v>
      </c>
      <c r="F54" s="2">
        <f t="shared" ref="F54:L54" si="67">E54*1.02</f>
        <v>14564.542726939899</v>
      </c>
      <c r="G54" s="2">
        <f t="shared" si="67"/>
        <v>14855.833581478697</v>
      </c>
      <c r="H54" s="2">
        <f t="shared" si="67"/>
        <v>15152.950253108271</v>
      </c>
      <c r="I54" s="2">
        <f t="shared" si="67"/>
        <v>15456.009258170436</v>
      </c>
      <c r="J54" s="2">
        <f t="shared" si="67"/>
        <v>15765.129443333844</v>
      </c>
      <c r="K54" s="2">
        <f t="shared" si="67"/>
        <v>16080.432032200522</v>
      </c>
      <c r="L54" s="2">
        <f t="shared" si="67"/>
        <v>16402.040672844534</v>
      </c>
      <c r="M54" s="2">
        <f t="shared" si="61"/>
        <v>16402.040672844534</v>
      </c>
    </row>
    <row r="55" spans="1:14" x14ac:dyDescent="0.25">
      <c r="A55" s="2">
        <f t="shared" si="59"/>
        <v>10668.57011157588</v>
      </c>
      <c r="B55" s="2">
        <f t="shared" ref="B55:E55" si="68">A55*1.02</f>
        <v>10881.941513807398</v>
      </c>
      <c r="C55" s="2">
        <f t="shared" si="68"/>
        <v>11099.580344083546</v>
      </c>
      <c r="D55" s="2">
        <f t="shared" si="68"/>
        <v>11321.571950965217</v>
      </c>
      <c r="E55" s="2">
        <f t="shared" si="68"/>
        <v>11548.003389984522</v>
      </c>
      <c r="F55" s="2">
        <f>E55*1.02+2500</f>
        <v>14278.963457784213</v>
      </c>
      <c r="G55" s="2">
        <f t="shared" ref="G55:L55" si="69">F55*1.02</f>
        <v>14564.542726939899</v>
      </c>
      <c r="H55" s="2">
        <f t="shared" si="69"/>
        <v>14855.833581478697</v>
      </c>
      <c r="I55" s="2">
        <f t="shared" si="69"/>
        <v>15152.950253108271</v>
      </c>
      <c r="J55" s="2">
        <f t="shared" si="69"/>
        <v>15456.009258170436</v>
      </c>
      <c r="K55" s="2">
        <f t="shared" si="69"/>
        <v>15765.129443333844</v>
      </c>
      <c r="L55" s="2">
        <f t="shared" si="69"/>
        <v>16080.432032200522</v>
      </c>
      <c r="M55" s="2">
        <f t="shared" si="61"/>
        <v>16080.432032200522</v>
      </c>
    </row>
    <row r="56" spans="1:14" x14ac:dyDescent="0.25">
      <c r="A56" s="2">
        <f t="shared" si="59"/>
        <v>10459.382462329295</v>
      </c>
      <c r="B56" s="2">
        <f t="shared" ref="B56:F56" si="70">A56*1.02</f>
        <v>10668.57011157588</v>
      </c>
      <c r="C56" s="2">
        <f t="shared" si="70"/>
        <v>10881.941513807398</v>
      </c>
      <c r="D56" s="2">
        <f t="shared" si="70"/>
        <v>11099.580344083546</v>
      </c>
      <c r="E56" s="2">
        <f t="shared" si="70"/>
        <v>11321.571950965217</v>
      </c>
      <c r="F56" s="2">
        <f t="shared" si="70"/>
        <v>11548.003389984522</v>
      </c>
      <c r="G56" s="2">
        <f>F56*1.02+2500</f>
        <v>14278.963457784213</v>
      </c>
      <c r="H56" s="2">
        <f t="shared" ref="H56:L56" si="71">G56*1.02</f>
        <v>14564.542726939899</v>
      </c>
      <c r="I56" s="2">
        <f t="shared" si="71"/>
        <v>14855.833581478697</v>
      </c>
      <c r="J56" s="2">
        <f t="shared" si="71"/>
        <v>15152.950253108271</v>
      </c>
      <c r="K56" s="2">
        <f t="shared" si="71"/>
        <v>15456.009258170436</v>
      </c>
      <c r="L56" s="2">
        <f t="shared" si="71"/>
        <v>15765.129443333844</v>
      </c>
      <c r="M56" s="2">
        <f t="shared" si="61"/>
        <v>15765.129443333844</v>
      </c>
    </row>
    <row r="57" spans="1:14" x14ac:dyDescent="0.25">
      <c r="A57" s="2">
        <f t="shared" si="59"/>
        <v>10254.296531695387</v>
      </c>
      <c r="B57" s="2">
        <f t="shared" ref="B57:G57" si="72">A57*1.02</f>
        <v>10459.382462329295</v>
      </c>
      <c r="C57" s="2">
        <f t="shared" si="72"/>
        <v>10668.57011157588</v>
      </c>
      <c r="D57" s="2">
        <f t="shared" si="72"/>
        <v>10881.941513807398</v>
      </c>
      <c r="E57" s="2">
        <f t="shared" si="72"/>
        <v>11099.580344083546</v>
      </c>
      <c r="F57" s="2">
        <f t="shared" si="72"/>
        <v>11321.571950965217</v>
      </c>
      <c r="G57" s="2">
        <f t="shared" si="72"/>
        <v>11548.003389984522</v>
      </c>
      <c r="H57" s="2">
        <f>G57*1.02+2500</f>
        <v>14278.963457784213</v>
      </c>
      <c r="I57" s="2">
        <f t="shared" ref="I57:L57" si="73">H57*1.02</f>
        <v>14564.542726939899</v>
      </c>
      <c r="J57" s="2">
        <f t="shared" si="73"/>
        <v>14855.833581478697</v>
      </c>
      <c r="K57" s="2">
        <f t="shared" si="73"/>
        <v>15152.950253108271</v>
      </c>
      <c r="L57" s="2">
        <f t="shared" si="73"/>
        <v>15456.009258170436</v>
      </c>
      <c r="M57" s="2">
        <f t="shared" si="61"/>
        <v>15456.009258170436</v>
      </c>
    </row>
    <row r="58" spans="1:14" x14ac:dyDescent="0.25">
      <c r="A58" s="2">
        <f t="shared" si="59"/>
        <v>10053.231893819007</v>
      </c>
      <c r="B58" s="2">
        <f t="shared" ref="B58:H58" si="74">A58*1.02</f>
        <v>10254.296531695387</v>
      </c>
      <c r="C58" s="2">
        <f t="shared" si="74"/>
        <v>10459.382462329295</v>
      </c>
      <c r="D58" s="2">
        <f t="shared" si="74"/>
        <v>10668.57011157588</v>
      </c>
      <c r="E58" s="2">
        <f t="shared" si="74"/>
        <v>10881.941513807398</v>
      </c>
      <c r="F58" s="2">
        <f t="shared" si="74"/>
        <v>11099.580344083546</v>
      </c>
      <c r="G58" s="2">
        <f t="shared" si="74"/>
        <v>11321.571950965217</v>
      </c>
      <c r="H58" s="2">
        <f t="shared" si="74"/>
        <v>11548.003389984522</v>
      </c>
      <c r="I58" s="2">
        <f>H58*1.02+2500</f>
        <v>14278.963457784213</v>
      </c>
      <c r="J58" s="2">
        <f t="shared" ref="J58:L58" si="75">I58*1.02</f>
        <v>14564.542726939899</v>
      </c>
      <c r="K58" s="2">
        <f t="shared" si="75"/>
        <v>14855.833581478697</v>
      </c>
      <c r="L58" s="2">
        <f t="shared" si="75"/>
        <v>15152.950253108271</v>
      </c>
      <c r="M58" s="2">
        <f t="shared" si="61"/>
        <v>15152.950253108271</v>
      </c>
    </row>
    <row r="59" spans="1:14" x14ac:dyDescent="0.25">
      <c r="A59" s="2">
        <f t="shared" si="59"/>
        <v>9856.1096998225566</v>
      </c>
      <c r="B59" s="2">
        <f t="shared" ref="B59:I59" si="76">A59*1.02</f>
        <v>10053.231893819007</v>
      </c>
      <c r="C59" s="2">
        <f t="shared" si="76"/>
        <v>10254.296531695387</v>
      </c>
      <c r="D59" s="2">
        <f t="shared" si="76"/>
        <v>10459.382462329295</v>
      </c>
      <c r="E59" s="2">
        <f t="shared" si="76"/>
        <v>10668.57011157588</v>
      </c>
      <c r="F59" s="2">
        <f t="shared" si="76"/>
        <v>10881.941513807398</v>
      </c>
      <c r="G59" s="2">
        <f t="shared" si="76"/>
        <v>11099.580344083546</v>
      </c>
      <c r="H59" s="2">
        <f t="shared" si="76"/>
        <v>11321.571950965217</v>
      </c>
      <c r="I59" s="2">
        <f t="shared" si="76"/>
        <v>11548.003389984522</v>
      </c>
      <c r="J59" s="2">
        <f>I59*1.02+2500</f>
        <v>14278.963457784213</v>
      </c>
      <c r="K59" s="2">
        <f t="shared" ref="K59:L60" si="77">J59*1.02</f>
        <v>14564.542726939899</v>
      </c>
      <c r="L59" s="2">
        <f t="shared" si="77"/>
        <v>14855.833581478697</v>
      </c>
      <c r="M59" s="2">
        <f t="shared" si="61"/>
        <v>14855.833581478697</v>
      </c>
    </row>
    <row r="60" spans="1:14" x14ac:dyDescent="0.25">
      <c r="A60" s="2">
        <f t="shared" si="59"/>
        <v>9662.8526468848595</v>
      </c>
      <c r="B60" s="2">
        <f t="shared" ref="B60:J60" si="78">A60*1.02</f>
        <v>9856.1096998225566</v>
      </c>
      <c r="C60" s="2">
        <f t="shared" si="78"/>
        <v>10053.231893819007</v>
      </c>
      <c r="D60" s="2">
        <f t="shared" si="78"/>
        <v>10254.296531695387</v>
      </c>
      <c r="E60" s="2">
        <f t="shared" si="78"/>
        <v>10459.382462329295</v>
      </c>
      <c r="F60" s="2">
        <f t="shared" si="78"/>
        <v>10668.57011157588</v>
      </c>
      <c r="G60" s="2">
        <f t="shared" si="78"/>
        <v>10881.941513807398</v>
      </c>
      <c r="H60" s="2">
        <f t="shared" si="78"/>
        <v>11099.580344083546</v>
      </c>
      <c r="I60" s="2">
        <f t="shared" si="78"/>
        <v>11321.571950965217</v>
      </c>
      <c r="J60" s="2">
        <f t="shared" si="78"/>
        <v>11548.003389984522</v>
      </c>
      <c r="K60" s="2">
        <f>J60*1.02+2500</f>
        <v>14278.963457784213</v>
      </c>
      <c r="L60" s="2">
        <f t="shared" si="77"/>
        <v>14564.542726939899</v>
      </c>
      <c r="M60" s="2">
        <f t="shared" si="61"/>
        <v>14564.542726939899</v>
      </c>
    </row>
    <row r="61" spans="1:14" x14ac:dyDescent="0.25">
      <c r="A61" s="2">
        <f t="shared" si="59"/>
        <v>9473.3849479263336</v>
      </c>
      <c r="B61" s="2">
        <f t="shared" ref="B61:K61" si="79">A61*1.02</f>
        <v>9662.8526468848595</v>
      </c>
      <c r="C61" s="2">
        <f t="shared" si="79"/>
        <v>9856.1096998225566</v>
      </c>
      <c r="D61" s="2">
        <f t="shared" si="79"/>
        <v>10053.231893819007</v>
      </c>
      <c r="E61" s="2">
        <f t="shared" si="79"/>
        <v>10254.296531695387</v>
      </c>
      <c r="F61" s="2">
        <f t="shared" si="79"/>
        <v>10459.382462329295</v>
      </c>
      <c r="G61" s="2">
        <f t="shared" si="79"/>
        <v>10668.57011157588</v>
      </c>
      <c r="H61" s="2">
        <f t="shared" si="79"/>
        <v>10881.941513807398</v>
      </c>
      <c r="I61" s="2">
        <f t="shared" si="79"/>
        <v>11099.580344083546</v>
      </c>
      <c r="J61" s="2">
        <f t="shared" si="79"/>
        <v>11321.571950965217</v>
      </c>
      <c r="K61" s="2">
        <f t="shared" si="79"/>
        <v>11548.003389984522</v>
      </c>
      <c r="L61" s="2">
        <f>K61*1.02+2500</f>
        <v>14278.963457784213</v>
      </c>
      <c r="M61" s="2">
        <f t="shared" si="61"/>
        <v>14278.963457784213</v>
      </c>
    </row>
    <row r="62" spans="1:1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>
        <f>SUM(M50:M61)</f>
        <v>191510.73912045226</v>
      </c>
    </row>
    <row r="65" spans="1:14" x14ac:dyDescent="0.25">
      <c r="A65" s="1">
        <v>45292</v>
      </c>
      <c r="B65" t="s">
        <v>0</v>
      </c>
      <c r="C65" t="s">
        <v>1</v>
      </c>
      <c r="D65" t="s">
        <v>2</v>
      </c>
      <c r="E65" t="s">
        <v>3</v>
      </c>
      <c r="F65" t="s">
        <v>4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10</v>
      </c>
    </row>
    <row r="66" spans="1:14" x14ac:dyDescent="0.25">
      <c r="A66" s="2">
        <f>M50+2500</f>
        <v>20254.096313914961</v>
      </c>
      <c r="B66" s="2">
        <f>A66*1.02</f>
        <v>20659.178240193261</v>
      </c>
      <c r="C66" s="2">
        <f t="shared" ref="C66:L66" si="80">B66*1.02</f>
        <v>21072.361804997126</v>
      </c>
      <c r="D66" s="2">
        <f t="shared" si="80"/>
        <v>21493.809041097069</v>
      </c>
      <c r="E66" s="2">
        <f t="shared" si="80"/>
        <v>21923.685221919011</v>
      </c>
      <c r="F66" s="2">
        <f t="shared" si="80"/>
        <v>22362.158926357391</v>
      </c>
      <c r="G66" s="2">
        <f t="shared" si="80"/>
        <v>22809.402104884539</v>
      </c>
      <c r="H66" s="2">
        <f t="shared" si="80"/>
        <v>23265.590146982231</v>
      </c>
      <c r="I66" s="2">
        <f t="shared" si="80"/>
        <v>23730.901949921878</v>
      </c>
      <c r="J66" s="2">
        <f t="shared" si="80"/>
        <v>24205.519988920314</v>
      </c>
      <c r="K66" s="2">
        <f t="shared" si="80"/>
        <v>24689.630388698723</v>
      </c>
      <c r="L66" s="2">
        <f t="shared" si="80"/>
        <v>25183.422996472698</v>
      </c>
      <c r="M66" s="2">
        <f>L66</f>
        <v>25183.422996472698</v>
      </c>
      <c r="N66">
        <f>M66/A66-1</f>
        <v>0.24337430839465268</v>
      </c>
    </row>
    <row r="67" spans="1:14" x14ac:dyDescent="0.25">
      <c r="A67" s="2">
        <f t="shared" ref="A67:A77" si="81">M51</f>
        <v>17405.976778348002</v>
      </c>
      <c r="B67" s="2">
        <f>A67*1.02+2500</f>
        <v>20254.096313914961</v>
      </c>
      <c r="C67" s="2">
        <f t="shared" ref="C67:L67" si="82">B67*1.02</f>
        <v>20659.178240193261</v>
      </c>
      <c r="D67" s="2">
        <f t="shared" si="82"/>
        <v>21072.361804997126</v>
      </c>
      <c r="E67" s="2">
        <f t="shared" si="82"/>
        <v>21493.809041097069</v>
      </c>
      <c r="F67" s="2">
        <f t="shared" si="82"/>
        <v>21923.685221919011</v>
      </c>
      <c r="G67" s="2">
        <f t="shared" si="82"/>
        <v>22362.158926357391</v>
      </c>
      <c r="H67" s="2">
        <f t="shared" si="82"/>
        <v>22809.402104884539</v>
      </c>
      <c r="I67" s="2">
        <f t="shared" si="82"/>
        <v>23265.590146982231</v>
      </c>
      <c r="J67" s="2">
        <f t="shared" si="82"/>
        <v>23730.901949921878</v>
      </c>
      <c r="K67" s="2">
        <f t="shared" si="82"/>
        <v>24205.519988920314</v>
      </c>
      <c r="L67" s="2">
        <f t="shared" si="82"/>
        <v>24689.630388698723</v>
      </c>
      <c r="M67" s="2">
        <f t="shared" ref="M67:M77" si="83">L67</f>
        <v>24689.630388698723</v>
      </c>
    </row>
    <row r="68" spans="1:14" x14ac:dyDescent="0.25">
      <c r="A68" s="2">
        <f t="shared" si="81"/>
        <v>17064.683116027452</v>
      </c>
      <c r="B68" s="2">
        <f t="shared" ref="B68" si="84">A68*1.02</f>
        <v>17405.976778348002</v>
      </c>
      <c r="C68" s="2">
        <f>B68*1.02+2500</f>
        <v>20254.096313914961</v>
      </c>
      <c r="D68" s="2">
        <f t="shared" ref="D68:L68" si="85">C68*1.02</f>
        <v>20659.178240193261</v>
      </c>
      <c r="E68" s="2">
        <f t="shared" si="85"/>
        <v>21072.361804997126</v>
      </c>
      <c r="F68" s="2">
        <f t="shared" si="85"/>
        <v>21493.809041097069</v>
      </c>
      <c r="G68" s="2">
        <f t="shared" si="85"/>
        <v>21923.685221919011</v>
      </c>
      <c r="H68" s="2">
        <f t="shared" si="85"/>
        <v>22362.158926357391</v>
      </c>
      <c r="I68" s="2">
        <f t="shared" si="85"/>
        <v>22809.402104884539</v>
      </c>
      <c r="J68" s="2">
        <f t="shared" si="85"/>
        <v>23265.590146982231</v>
      </c>
      <c r="K68" s="2">
        <f t="shared" si="85"/>
        <v>23730.901949921878</v>
      </c>
      <c r="L68" s="2">
        <f t="shared" si="85"/>
        <v>24205.519988920314</v>
      </c>
      <c r="M68" s="2">
        <f t="shared" si="83"/>
        <v>24205.519988920314</v>
      </c>
    </row>
    <row r="69" spans="1:14" x14ac:dyDescent="0.25">
      <c r="A69" s="2">
        <f t="shared" si="81"/>
        <v>16730.081486301424</v>
      </c>
      <c r="B69" s="2">
        <f t="shared" ref="B69:C69" si="86">A69*1.02</f>
        <v>17064.683116027452</v>
      </c>
      <c r="C69" s="2">
        <f t="shared" si="86"/>
        <v>17405.976778348002</v>
      </c>
      <c r="D69" s="2">
        <f>C69*1.02+2500</f>
        <v>20254.096313914961</v>
      </c>
      <c r="E69" s="2">
        <f t="shared" ref="E69:L69" si="87">D69*1.02</f>
        <v>20659.178240193261</v>
      </c>
      <c r="F69" s="2">
        <f t="shared" si="87"/>
        <v>21072.361804997126</v>
      </c>
      <c r="G69" s="2">
        <f t="shared" si="87"/>
        <v>21493.809041097069</v>
      </c>
      <c r="H69" s="2">
        <f t="shared" si="87"/>
        <v>21923.685221919011</v>
      </c>
      <c r="I69" s="2">
        <f t="shared" si="87"/>
        <v>22362.158926357391</v>
      </c>
      <c r="J69" s="2">
        <f t="shared" si="87"/>
        <v>22809.402104884539</v>
      </c>
      <c r="K69" s="2">
        <f t="shared" si="87"/>
        <v>23265.590146982231</v>
      </c>
      <c r="L69" s="2">
        <f t="shared" si="87"/>
        <v>23730.901949921878</v>
      </c>
      <c r="M69" s="2">
        <f t="shared" si="83"/>
        <v>23730.901949921878</v>
      </c>
    </row>
    <row r="70" spans="1:14" x14ac:dyDescent="0.25">
      <c r="A70" s="2">
        <f t="shared" si="81"/>
        <v>16402.040672844534</v>
      </c>
      <c r="B70" s="2">
        <f t="shared" ref="B70:D70" si="88">A70*1.02</f>
        <v>16730.081486301424</v>
      </c>
      <c r="C70" s="2">
        <f t="shared" si="88"/>
        <v>17064.683116027452</v>
      </c>
      <c r="D70" s="2">
        <f t="shared" si="88"/>
        <v>17405.976778348002</v>
      </c>
      <c r="E70" s="2">
        <f>D70*1.02+2500</f>
        <v>20254.096313914961</v>
      </c>
      <c r="F70" s="2">
        <f t="shared" ref="F70:L70" si="89">E70*1.02</f>
        <v>20659.178240193261</v>
      </c>
      <c r="G70" s="2">
        <f t="shared" si="89"/>
        <v>21072.361804997126</v>
      </c>
      <c r="H70" s="2">
        <f t="shared" si="89"/>
        <v>21493.809041097069</v>
      </c>
      <c r="I70" s="2">
        <f t="shared" si="89"/>
        <v>21923.685221919011</v>
      </c>
      <c r="J70" s="2">
        <f t="shared" si="89"/>
        <v>22362.158926357391</v>
      </c>
      <c r="K70" s="2">
        <f t="shared" si="89"/>
        <v>22809.402104884539</v>
      </c>
      <c r="L70" s="2">
        <f t="shared" si="89"/>
        <v>23265.590146982231</v>
      </c>
      <c r="M70" s="2">
        <f t="shared" si="83"/>
        <v>23265.590146982231</v>
      </c>
    </row>
    <row r="71" spans="1:14" x14ac:dyDescent="0.25">
      <c r="A71" s="2">
        <f t="shared" si="81"/>
        <v>16080.432032200522</v>
      </c>
      <c r="B71" s="2">
        <f t="shared" ref="B71:E71" si="90">A71*1.02</f>
        <v>16402.040672844534</v>
      </c>
      <c r="C71" s="2">
        <f t="shared" si="90"/>
        <v>16730.081486301424</v>
      </c>
      <c r="D71" s="2">
        <f t="shared" si="90"/>
        <v>17064.683116027452</v>
      </c>
      <c r="E71" s="2">
        <f t="shared" si="90"/>
        <v>17405.976778348002</v>
      </c>
      <c r="F71" s="2">
        <f>E71*1.02+2500</f>
        <v>20254.096313914961</v>
      </c>
      <c r="G71" s="2">
        <f t="shared" ref="G71:L71" si="91">F71*1.02</f>
        <v>20659.178240193261</v>
      </c>
      <c r="H71" s="2">
        <f t="shared" si="91"/>
        <v>21072.361804997126</v>
      </c>
      <c r="I71" s="2">
        <f t="shared" si="91"/>
        <v>21493.809041097069</v>
      </c>
      <c r="J71" s="2">
        <f t="shared" si="91"/>
        <v>21923.685221919011</v>
      </c>
      <c r="K71" s="2">
        <f t="shared" si="91"/>
        <v>22362.158926357391</v>
      </c>
      <c r="L71" s="2">
        <f t="shared" si="91"/>
        <v>22809.402104884539</v>
      </c>
      <c r="M71" s="2">
        <f t="shared" si="83"/>
        <v>22809.402104884539</v>
      </c>
    </row>
    <row r="72" spans="1:14" x14ac:dyDescent="0.25">
      <c r="A72" s="2">
        <f t="shared" si="81"/>
        <v>15765.129443333844</v>
      </c>
      <c r="B72" s="2">
        <f t="shared" ref="B72:F72" si="92">A72*1.02</f>
        <v>16080.432032200522</v>
      </c>
      <c r="C72" s="2">
        <f t="shared" si="92"/>
        <v>16402.040672844534</v>
      </c>
      <c r="D72" s="2">
        <f t="shared" si="92"/>
        <v>16730.081486301424</v>
      </c>
      <c r="E72" s="2">
        <f t="shared" si="92"/>
        <v>17064.683116027452</v>
      </c>
      <c r="F72" s="2">
        <f t="shared" si="92"/>
        <v>17405.976778348002</v>
      </c>
      <c r="G72" s="2">
        <f>F72*1.02+2500</f>
        <v>20254.096313914961</v>
      </c>
      <c r="H72" s="2">
        <f t="shared" ref="H72:L72" si="93">G72*1.02</f>
        <v>20659.178240193261</v>
      </c>
      <c r="I72" s="2">
        <f t="shared" si="93"/>
        <v>21072.361804997126</v>
      </c>
      <c r="J72" s="2">
        <f t="shared" si="93"/>
        <v>21493.809041097069</v>
      </c>
      <c r="K72" s="2">
        <f t="shared" si="93"/>
        <v>21923.685221919011</v>
      </c>
      <c r="L72" s="2">
        <f t="shared" si="93"/>
        <v>22362.158926357391</v>
      </c>
      <c r="M72" s="2">
        <f t="shared" si="83"/>
        <v>22362.158926357391</v>
      </c>
    </row>
    <row r="73" spans="1:14" x14ac:dyDescent="0.25">
      <c r="A73" s="2">
        <f t="shared" si="81"/>
        <v>15456.009258170436</v>
      </c>
      <c r="B73" s="2">
        <f t="shared" ref="B73:G73" si="94">A73*1.02</f>
        <v>15765.129443333844</v>
      </c>
      <c r="C73" s="2">
        <f t="shared" si="94"/>
        <v>16080.432032200522</v>
      </c>
      <c r="D73" s="2">
        <f t="shared" si="94"/>
        <v>16402.040672844534</v>
      </c>
      <c r="E73" s="2">
        <f t="shared" si="94"/>
        <v>16730.081486301424</v>
      </c>
      <c r="F73" s="2">
        <f t="shared" si="94"/>
        <v>17064.683116027452</v>
      </c>
      <c r="G73" s="2">
        <f t="shared" si="94"/>
        <v>17405.976778348002</v>
      </c>
      <c r="H73" s="2">
        <f>G73*1.02+2500</f>
        <v>20254.096313914961</v>
      </c>
      <c r="I73" s="2">
        <f t="shared" ref="I73:L73" si="95">H73*1.02</f>
        <v>20659.178240193261</v>
      </c>
      <c r="J73" s="2">
        <f t="shared" si="95"/>
        <v>21072.361804997126</v>
      </c>
      <c r="K73" s="2">
        <f t="shared" si="95"/>
        <v>21493.809041097069</v>
      </c>
      <c r="L73" s="2">
        <f t="shared" si="95"/>
        <v>21923.685221919011</v>
      </c>
      <c r="M73" s="2">
        <f t="shared" si="83"/>
        <v>21923.685221919011</v>
      </c>
    </row>
    <row r="74" spans="1:14" x14ac:dyDescent="0.25">
      <c r="A74" s="2">
        <f t="shared" si="81"/>
        <v>15152.950253108271</v>
      </c>
      <c r="B74" s="2">
        <f t="shared" ref="B74:H74" si="96">A74*1.02</f>
        <v>15456.009258170436</v>
      </c>
      <c r="C74" s="2">
        <f t="shared" si="96"/>
        <v>15765.129443333844</v>
      </c>
      <c r="D74" s="2">
        <f t="shared" si="96"/>
        <v>16080.432032200522</v>
      </c>
      <c r="E74" s="2">
        <f t="shared" si="96"/>
        <v>16402.040672844534</v>
      </c>
      <c r="F74" s="2">
        <f t="shared" si="96"/>
        <v>16730.081486301424</v>
      </c>
      <c r="G74" s="2">
        <f t="shared" si="96"/>
        <v>17064.683116027452</v>
      </c>
      <c r="H74" s="2">
        <f t="shared" si="96"/>
        <v>17405.976778348002</v>
      </c>
      <c r="I74" s="2">
        <f>H74*1.02+2500</f>
        <v>20254.096313914961</v>
      </c>
      <c r="J74" s="2">
        <f t="shared" ref="J74:L74" si="97">I74*1.02</f>
        <v>20659.178240193261</v>
      </c>
      <c r="K74" s="2">
        <f t="shared" si="97"/>
        <v>21072.361804997126</v>
      </c>
      <c r="L74" s="2">
        <f t="shared" si="97"/>
        <v>21493.809041097069</v>
      </c>
      <c r="M74" s="2">
        <f t="shared" si="83"/>
        <v>21493.809041097069</v>
      </c>
    </row>
    <row r="75" spans="1:14" x14ac:dyDescent="0.25">
      <c r="A75" s="2">
        <f t="shared" si="81"/>
        <v>14855.833581478697</v>
      </c>
      <c r="B75" s="2">
        <f t="shared" ref="B75:I75" si="98">A75*1.02</f>
        <v>15152.950253108271</v>
      </c>
      <c r="C75" s="2">
        <f t="shared" si="98"/>
        <v>15456.009258170436</v>
      </c>
      <c r="D75" s="2">
        <f t="shared" si="98"/>
        <v>15765.129443333844</v>
      </c>
      <c r="E75" s="2">
        <f t="shared" si="98"/>
        <v>16080.432032200522</v>
      </c>
      <c r="F75" s="2">
        <f t="shared" si="98"/>
        <v>16402.040672844534</v>
      </c>
      <c r="G75" s="2">
        <f t="shared" si="98"/>
        <v>16730.081486301424</v>
      </c>
      <c r="H75" s="2">
        <f t="shared" si="98"/>
        <v>17064.683116027452</v>
      </c>
      <c r="I75" s="2">
        <f t="shared" si="98"/>
        <v>17405.976778348002</v>
      </c>
      <c r="J75" s="2">
        <f>I75*1.02+2500</f>
        <v>20254.096313914961</v>
      </c>
      <c r="K75" s="2">
        <f t="shared" ref="K75:L76" si="99">J75*1.02</f>
        <v>20659.178240193261</v>
      </c>
      <c r="L75" s="2">
        <f t="shared" si="99"/>
        <v>21072.361804997126</v>
      </c>
      <c r="M75" s="2">
        <f t="shared" si="83"/>
        <v>21072.361804997126</v>
      </c>
    </row>
    <row r="76" spans="1:14" x14ac:dyDescent="0.25">
      <c r="A76" s="2">
        <f t="shared" si="81"/>
        <v>14564.542726939899</v>
      </c>
      <c r="B76" s="2">
        <f t="shared" ref="B76:J76" si="100">A76*1.02</f>
        <v>14855.833581478697</v>
      </c>
      <c r="C76" s="2">
        <f t="shared" si="100"/>
        <v>15152.950253108271</v>
      </c>
      <c r="D76" s="2">
        <f t="shared" si="100"/>
        <v>15456.009258170436</v>
      </c>
      <c r="E76" s="2">
        <f t="shared" si="100"/>
        <v>15765.129443333844</v>
      </c>
      <c r="F76" s="2">
        <f t="shared" si="100"/>
        <v>16080.432032200522</v>
      </c>
      <c r="G76" s="2">
        <f t="shared" si="100"/>
        <v>16402.040672844534</v>
      </c>
      <c r="H76" s="2">
        <f t="shared" si="100"/>
        <v>16730.081486301424</v>
      </c>
      <c r="I76" s="2">
        <f t="shared" si="100"/>
        <v>17064.683116027452</v>
      </c>
      <c r="J76" s="2">
        <f t="shared" si="100"/>
        <v>17405.976778348002</v>
      </c>
      <c r="K76" s="2">
        <f>J76*1.02+2500</f>
        <v>20254.096313914961</v>
      </c>
      <c r="L76" s="2">
        <f t="shared" si="99"/>
        <v>20659.178240193261</v>
      </c>
      <c r="M76" s="2">
        <f t="shared" si="83"/>
        <v>20659.178240193261</v>
      </c>
    </row>
    <row r="77" spans="1:14" x14ac:dyDescent="0.25">
      <c r="A77" s="2">
        <f t="shared" si="81"/>
        <v>14278.963457784213</v>
      </c>
      <c r="B77" s="2">
        <f t="shared" ref="B77:K77" si="101">A77*1.02</f>
        <v>14564.542726939899</v>
      </c>
      <c r="C77" s="2">
        <f t="shared" si="101"/>
        <v>14855.833581478697</v>
      </c>
      <c r="D77" s="2">
        <f t="shared" si="101"/>
        <v>15152.950253108271</v>
      </c>
      <c r="E77" s="2">
        <f t="shared" si="101"/>
        <v>15456.009258170436</v>
      </c>
      <c r="F77" s="2">
        <f t="shared" si="101"/>
        <v>15765.129443333844</v>
      </c>
      <c r="G77" s="2">
        <f t="shared" si="101"/>
        <v>16080.432032200522</v>
      </c>
      <c r="H77" s="2">
        <f t="shared" si="101"/>
        <v>16402.040672844534</v>
      </c>
      <c r="I77" s="2">
        <f t="shared" si="101"/>
        <v>16730.081486301424</v>
      </c>
      <c r="J77" s="2">
        <f t="shared" si="101"/>
        <v>17064.683116027452</v>
      </c>
      <c r="K77" s="2">
        <f t="shared" si="101"/>
        <v>17405.976778348002</v>
      </c>
      <c r="L77" s="2">
        <f>K77*1.02+2500</f>
        <v>20254.096313914961</v>
      </c>
      <c r="M77" s="2">
        <f t="shared" si="83"/>
        <v>20254.096313914961</v>
      </c>
    </row>
    <row r="78" spans="1:1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>
        <f>SUM(M66:M77)</f>
        <v>271649.7571243592</v>
      </c>
    </row>
    <row r="81" spans="1:14" x14ac:dyDescent="0.25">
      <c r="A81" s="1">
        <v>45658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10</v>
      </c>
    </row>
    <row r="82" spans="1:14" x14ac:dyDescent="0.25">
      <c r="A82" s="2">
        <f>M66+2500</f>
        <v>27683.422996472698</v>
      </c>
      <c r="B82" s="2">
        <f>A82*1.02</f>
        <v>28237.091456402151</v>
      </c>
      <c r="C82" s="2">
        <f t="shared" ref="C82:L82" si="102">B82*1.02</f>
        <v>28801.833285530196</v>
      </c>
      <c r="D82" s="2">
        <f t="shared" si="102"/>
        <v>29377.869951240802</v>
      </c>
      <c r="E82" s="2">
        <f t="shared" si="102"/>
        <v>29965.427350265618</v>
      </c>
      <c r="F82" s="2">
        <f t="shared" si="102"/>
        <v>30564.73589727093</v>
      </c>
      <c r="G82" s="2">
        <f t="shared" si="102"/>
        <v>31176.03061521635</v>
      </c>
      <c r="H82" s="2">
        <f t="shared" si="102"/>
        <v>31799.551227520678</v>
      </c>
      <c r="I82" s="2">
        <f t="shared" si="102"/>
        <v>32435.542252071093</v>
      </c>
      <c r="J82" s="2">
        <f t="shared" si="102"/>
        <v>33084.253097112516</v>
      </c>
      <c r="K82" s="2">
        <f t="shared" si="102"/>
        <v>33745.938159054764</v>
      </c>
      <c r="L82" s="2">
        <f t="shared" si="102"/>
        <v>34420.856922235856</v>
      </c>
      <c r="M82" s="2">
        <f>L82</f>
        <v>34420.856922235856</v>
      </c>
      <c r="N82">
        <f>M82/A82-1</f>
        <v>0.24337430839465246</v>
      </c>
    </row>
    <row r="83" spans="1:14" x14ac:dyDescent="0.25">
      <c r="A83" s="2">
        <f t="shared" ref="A83:A93" si="103">M67</f>
        <v>24689.630388698723</v>
      </c>
      <c r="B83" s="2">
        <f>A83*1.02+2500</f>
        <v>27683.422996472698</v>
      </c>
      <c r="C83" s="2">
        <f t="shared" ref="C83:L83" si="104">B83*1.02</f>
        <v>28237.091456402151</v>
      </c>
      <c r="D83" s="2">
        <f t="shared" si="104"/>
        <v>28801.833285530196</v>
      </c>
      <c r="E83" s="2">
        <f t="shared" si="104"/>
        <v>29377.869951240802</v>
      </c>
      <c r="F83" s="2">
        <f t="shared" si="104"/>
        <v>29965.427350265618</v>
      </c>
      <c r="G83" s="2">
        <f t="shared" si="104"/>
        <v>30564.73589727093</v>
      </c>
      <c r="H83" s="2">
        <f t="shared" si="104"/>
        <v>31176.03061521635</v>
      </c>
      <c r="I83" s="2">
        <f t="shared" si="104"/>
        <v>31799.551227520678</v>
      </c>
      <c r="J83" s="2">
        <f t="shared" si="104"/>
        <v>32435.542252071093</v>
      </c>
      <c r="K83" s="2">
        <f t="shared" si="104"/>
        <v>33084.253097112516</v>
      </c>
      <c r="L83" s="2">
        <f t="shared" si="104"/>
        <v>33745.938159054764</v>
      </c>
      <c r="M83" s="2">
        <f t="shared" ref="M83:M93" si="105">L83</f>
        <v>33745.938159054764</v>
      </c>
    </row>
    <row r="84" spans="1:14" x14ac:dyDescent="0.25">
      <c r="A84" s="2">
        <f t="shared" si="103"/>
        <v>24205.519988920314</v>
      </c>
      <c r="B84" s="2">
        <f t="shared" ref="B84" si="106">A84*1.02</f>
        <v>24689.630388698723</v>
      </c>
      <c r="C84" s="2">
        <f>B84*1.02+2500</f>
        <v>27683.422996472698</v>
      </c>
      <c r="D84" s="2">
        <f t="shared" ref="D84:L84" si="107">C84*1.02</f>
        <v>28237.091456402151</v>
      </c>
      <c r="E84" s="2">
        <f t="shared" si="107"/>
        <v>28801.833285530196</v>
      </c>
      <c r="F84" s="2">
        <f t="shared" si="107"/>
        <v>29377.869951240802</v>
      </c>
      <c r="G84" s="2">
        <f t="shared" si="107"/>
        <v>29965.427350265618</v>
      </c>
      <c r="H84" s="2">
        <f t="shared" si="107"/>
        <v>30564.73589727093</v>
      </c>
      <c r="I84" s="2">
        <f t="shared" si="107"/>
        <v>31176.03061521635</v>
      </c>
      <c r="J84" s="2">
        <f t="shared" si="107"/>
        <v>31799.551227520678</v>
      </c>
      <c r="K84" s="2">
        <f t="shared" si="107"/>
        <v>32435.542252071093</v>
      </c>
      <c r="L84" s="2">
        <f t="shared" si="107"/>
        <v>33084.253097112516</v>
      </c>
      <c r="M84" s="2">
        <f t="shared" si="105"/>
        <v>33084.253097112516</v>
      </c>
    </row>
    <row r="85" spans="1:14" x14ac:dyDescent="0.25">
      <c r="A85" s="2">
        <f t="shared" si="103"/>
        <v>23730.901949921878</v>
      </c>
      <c r="B85" s="2">
        <f t="shared" ref="B85:C85" si="108">A85*1.02</f>
        <v>24205.519988920314</v>
      </c>
      <c r="C85" s="2">
        <f t="shared" si="108"/>
        <v>24689.630388698723</v>
      </c>
      <c r="D85" s="2">
        <f>C85*1.02+2500</f>
        <v>27683.422996472698</v>
      </c>
      <c r="E85" s="2">
        <f t="shared" ref="E85:L85" si="109">D85*1.02</f>
        <v>28237.091456402151</v>
      </c>
      <c r="F85" s="2">
        <f t="shared" si="109"/>
        <v>28801.833285530196</v>
      </c>
      <c r="G85" s="2">
        <f t="shared" si="109"/>
        <v>29377.869951240802</v>
      </c>
      <c r="H85" s="2">
        <f t="shared" si="109"/>
        <v>29965.427350265618</v>
      </c>
      <c r="I85" s="2">
        <f t="shared" si="109"/>
        <v>30564.73589727093</v>
      </c>
      <c r="J85" s="2">
        <f t="shared" si="109"/>
        <v>31176.03061521635</v>
      </c>
      <c r="K85" s="2">
        <f t="shared" si="109"/>
        <v>31799.551227520678</v>
      </c>
      <c r="L85" s="2">
        <f t="shared" si="109"/>
        <v>32435.542252071093</v>
      </c>
      <c r="M85" s="2">
        <f t="shared" si="105"/>
        <v>32435.542252071093</v>
      </c>
    </row>
    <row r="86" spans="1:14" x14ac:dyDescent="0.25">
      <c r="A86" s="2">
        <f t="shared" si="103"/>
        <v>23265.590146982231</v>
      </c>
      <c r="B86" s="2">
        <f t="shared" ref="B86:D86" si="110">A86*1.02</f>
        <v>23730.901949921878</v>
      </c>
      <c r="C86" s="2">
        <f t="shared" si="110"/>
        <v>24205.519988920314</v>
      </c>
      <c r="D86" s="2">
        <f t="shared" si="110"/>
        <v>24689.630388698723</v>
      </c>
      <c r="E86" s="2">
        <f>D86*1.02+2500</f>
        <v>27683.422996472698</v>
      </c>
      <c r="F86" s="2">
        <f t="shared" ref="F86:L86" si="111">E86*1.02</f>
        <v>28237.091456402151</v>
      </c>
      <c r="G86" s="2">
        <f t="shared" si="111"/>
        <v>28801.833285530196</v>
      </c>
      <c r="H86" s="2">
        <f t="shared" si="111"/>
        <v>29377.869951240802</v>
      </c>
      <c r="I86" s="2">
        <f t="shared" si="111"/>
        <v>29965.427350265618</v>
      </c>
      <c r="J86" s="2">
        <f t="shared" si="111"/>
        <v>30564.73589727093</v>
      </c>
      <c r="K86" s="2">
        <f t="shared" si="111"/>
        <v>31176.03061521635</v>
      </c>
      <c r="L86" s="2">
        <f t="shared" si="111"/>
        <v>31799.551227520678</v>
      </c>
      <c r="M86" s="2">
        <f t="shared" si="105"/>
        <v>31799.551227520678</v>
      </c>
    </row>
    <row r="87" spans="1:14" x14ac:dyDescent="0.25">
      <c r="A87" s="2">
        <f t="shared" si="103"/>
        <v>22809.402104884539</v>
      </c>
      <c r="B87" s="2">
        <f t="shared" ref="B87:E87" si="112">A87*1.02</f>
        <v>23265.590146982231</v>
      </c>
      <c r="C87" s="2">
        <f t="shared" si="112"/>
        <v>23730.901949921878</v>
      </c>
      <c r="D87" s="2">
        <f t="shared" si="112"/>
        <v>24205.519988920314</v>
      </c>
      <c r="E87" s="2">
        <f t="shared" si="112"/>
        <v>24689.630388698723</v>
      </c>
      <c r="F87" s="2">
        <f>E87*1.02+2500</f>
        <v>27683.422996472698</v>
      </c>
      <c r="G87" s="2">
        <f t="shared" ref="G87:L87" si="113">F87*1.02</f>
        <v>28237.091456402151</v>
      </c>
      <c r="H87" s="2">
        <f t="shared" si="113"/>
        <v>28801.833285530196</v>
      </c>
      <c r="I87" s="2">
        <f t="shared" si="113"/>
        <v>29377.869951240802</v>
      </c>
      <c r="J87" s="2">
        <f t="shared" si="113"/>
        <v>29965.427350265618</v>
      </c>
      <c r="K87" s="2">
        <f t="shared" si="113"/>
        <v>30564.73589727093</v>
      </c>
      <c r="L87" s="2">
        <f t="shared" si="113"/>
        <v>31176.03061521635</v>
      </c>
      <c r="M87" s="2">
        <f t="shared" si="105"/>
        <v>31176.03061521635</v>
      </c>
    </row>
    <row r="88" spans="1:14" x14ac:dyDescent="0.25">
      <c r="A88" s="2">
        <f t="shared" si="103"/>
        <v>22362.158926357391</v>
      </c>
      <c r="B88" s="2">
        <f t="shared" ref="B88:F88" si="114">A88*1.02</f>
        <v>22809.402104884539</v>
      </c>
      <c r="C88" s="2">
        <f t="shared" si="114"/>
        <v>23265.590146982231</v>
      </c>
      <c r="D88" s="2">
        <f t="shared" si="114"/>
        <v>23730.901949921878</v>
      </c>
      <c r="E88" s="2">
        <f t="shared" si="114"/>
        <v>24205.519988920314</v>
      </c>
      <c r="F88" s="2">
        <f t="shared" si="114"/>
        <v>24689.630388698723</v>
      </c>
      <c r="G88" s="2">
        <f>F88*1.02+2500</f>
        <v>27683.422996472698</v>
      </c>
      <c r="H88" s="2">
        <f t="shared" ref="H88:L88" si="115">G88*1.02</f>
        <v>28237.091456402151</v>
      </c>
      <c r="I88" s="2">
        <f t="shared" si="115"/>
        <v>28801.833285530196</v>
      </c>
      <c r="J88" s="2">
        <f t="shared" si="115"/>
        <v>29377.869951240802</v>
      </c>
      <c r="K88" s="2">
        <f t="shared" si="115"/>
        <v>29965.427350265618</v>
      </c>
      <c r="L88" s="2">
        <f t="shared" si="115"/>
        <v>30564.73589727093</v>
      </c>
      <c r="M88" s="2">
        <f t="shared" si="105"/>
        <v>30564.73589727093</v>
      </c>
    </row>
    <row r="89" spans="1:14" x14ac:dyDescent="0.25">
      <c r="A89" s="2">
        <f t="shared" si="103"/>
        <v>21923.685221919011</v>
      </c>
      <c r="B89" s="2">
        <f t="shared" ref="B89:G89" si="116">A89*1.02</f>
        <v>22362.158926357391</v>
      </c>
      <c r="C89" s="2">
        <f t="shared" si="116"/>
        <v>22809.402104884539</v>
      </c>
      <c r="D89" s="2">
        <f t="shared" si="116"/>
        <v>23265.590146982231</v>
      </c>
      <c r="E89" s="2">
        <f t="shared" si="116"/>
        <v>23730.901949921878</v>
      </c>
      <c r="F89" s="2">
        <f t="shared" si="116"/>
        <v>24205.519988920314</v>
      </c>
      <c r="G89" s="2">
        <f t="shared" si="116"/>
        <v>24689.630388698723</v>
      </c>
      <c r="H89" s="2">
        <f>G89*1.02+2500</f>
        <v>27683.422996472698</v>
      </c>
      <c r="I89" s="2">
        <f t="shared" ref="I89:L89" si="117">H89*1.02</f>
        <v>28237.091456402151</v>
      </c>
      <c r="J89" s="2">
        <f t="shared" si="117"/>
        <v>28801.833285530196</v>
      </c>
      <c r="K89" s="2">
        <f t="shared" si="117"/>
        <v>29377.869951240802</v>
      </c>
      <c r="L89" s="2">
        <f t="shared" si="117"/>
        <v>29965.427350265618</v>
      </c>
      <c r="M89" s="2">
        <f t="shared" si="105"/>
        <v>29965.427350265618</v>
      </c>
    </row>
    <row r="90" spans="1:14" x14ac:dyDescent="0.25">
      <c r="A90" s="2">
        <f t="shared" si="103"/>
        <v>21493.809041097069</v>
      </c>
      <c r="B90" s="2">
        <f t="shared" ref="B90:H90" si="118">A90*1.02</f>
        <v>21923.685221919011</v>
      </c>
      <c r="C90" s="2">
        <f t="shared" si="118"/>
        <v>22362.158926357391</v>
      </c>
      <c r="D90" s="2">
        <f t="shared" si="118"/>
        <v>22809.402104884539</v>
      </c>
      <c r="E90" s="2">
        <f t="shared" si="118"/>
        <v>23265.590146982231</v>
      </c>
      <c r="F90" s="2">
        <f t="shared" si="118"/>
        <v>23730.901949921878</v>
      </c>
      <c r="G90" s="2">
        <f t="shared" si="118"/>
        <v>24205.519988920314</v>
      </c>
      <c r="H90" s="2">
        <f t="shared" si="118"/>
        <v>24689.630388698723</v>
      </c>
      <c r="I90" s="2">
        <f>H90*1.02+2500</f>
        <v>27683.422996472698</v>
      </c>
      <c r="J90" s="2">
        <f t="shared" ref="J90:L90" si="119">I90*1.02</f>
        <v>28237.091456402151</v>
      </c>
      <c r="K90" s="2">
        <f t="shared" si="119"/>
        <v>28801.833285530196</v>
      </c>
      <c r="L90" s="2">
        <f t="shared" si="119"/>
        <v>29377.869951240802</v>
      </c>
      <c r="M90" s="2">
        <f t="shared" si="105"/>
        <v>29377.869951240802</v>
      </c>
    </row>
    <row r="91" spans="1:14" x14ac:dyDescent="0.25">
      <c r="A91" s="2">
        <f t="shared" si="103"/>
        <v>21072.361804997126</v>
      </c>
      <c r="B91" s="2">
        <f t="shared" ref="B91:I91" si="120">A91*1.02</f>
        <v>21493.809041097069</v>
      </c>
      <c r="C91" s="2">
        <f t="shared" si="120"/>
        <v>21923.685221919011</v>
      </c>
      <c r="D91" s="2">
        <f t="shared" si="120"/>
        <v>22362.158926357391</v>
      </c>
      <c r="E91" s="2">
        <f t="shared" si="120"/>
        <v>22809.402104884539</v>
      </c>
      <c r="F91" s="2">
        <f t="shared" si="120"/>
        <v>23265.590146982231</v>
      </c>
      <c r="G91" s="2">
        <f t="shared" si="120"/>
        <v>23730.901949921878</v>
      </c>
      <c r="H91" s="2">
        <f t="shared" si="120"/>
        <v>24205.519988920314</v>
      </c>
      <c r="I91" s="2">
        <f t="shared" si="120"/>
        <v>24689.630388698723</v>
      </c>
      <c r="J91" s="2">
        <f>I91*1.02+2500</f>
        <v>27683.422996472698</v>
      </c>
      <c r="K91" s="2">
        <f t="shared" ref="K91:L92" si="121">J91*1.02</f>
        <v>28237.091456402151</v>
      </c>
      <c r="L91" s="2">
        <f t="shared" si="121"/>
        <v>28801.833285530196</v>
      </c>
      <c r="M91" s="2">
        <f t="shared" si="105"/>
        <v>28801.833285530196</v>
      </c>
    </row>
    <row r="92" spans="1:14" x14ac:dyDescent="0.25">
      <c r="A92" s="2">
        <f t="shared" si="103"/>
        <v>20659.178240193261</v>
      </c>
      <c r="B92" s="2">
        <f t="shared" ref="B92:J92" si="122">A92*1.02</f>
        <v>21072.361804997126</v>
      </c>
      <c r="C92" s="2">
        <f t="shared" si="122"/>
        <v>21493.809041097069</v>
      </c>
      <c r="D92" s="2">
        <f t="shared" si="122"/>
        <v>21923.685221919011</v>
      </c>
      <c r="E92" s="2">
        <f t="shared" si="122"/>
        <v>22362.158926357391</v>
      </c>
      <c r="F92" s="2">
        <f t="shared" si="122"/>
        <v>22809.402104884539</v>
      </c>
      <c r="G92" s="2">
        <f t="shared" si="122"/>
        <v>23265.590146982231</v>
      </c>
      <c r="H92" s="2">
        <f t="shared" si="122"/>
        <v>23730.901949921878</v>
      </c>
      <c r="I92" s="2">
        <f t="shared" si="122"/>
        <v>24205.519988920314</v>
      </c>
      <c r="J92" s="2">
        <f t="shared" si="122"/>
        <v>24689.630388698723</v>
      </c>
      <c r="K92" s="2">
        <f>J92*1.02+2500</f>
        <v>27683.422996472698</v>
      </c>
      <c r="L92" s="2">
        <f t="shared" si="121"/>
        <v>28237.091456402151</v>
      </c>
      <c r="M92" s="2">
        <f t="shared" si="105"/>
        <v>28237.091456402151</v>
      </c>
    </row>
    <row r="93" spans="1:14" x14ac:dyDescent="0.25">
      <c r="A93" s="2">
        <f t="shared" si="103"/>
        <v>20254.096313914961</v>
      </c>
      <c r="B93" s="2">
        <f t="shared" ref="B93:K93" si="123">A93*1.02</f>
        <v>20659.178240193261</v>
      </c>
      <c r="C93" s="2">
        <f t="shared" si="123"/>
        <v>21072.361804997126</v>
      </c>
      <c r="D93" s="2">
        <f t="shared" si="123"/>
        <v>21493.809041097069</v>
      </c>
      <c r="E93" s="2">
        <f t="shared" si="123"/>
        <v>21923.685221919011</v>
      </c>
      <c r="F93" s="2">
        <f t="shared" si="123"/>
        <v>22362.158926357391</v>
      </c>
      <c r="G93" s="2">
        <f t="shared" si="123"/>
        <v>22809.402104884539</v>
      </c>
      <c r="H93" s="2">
        <f t="shared" si="123"/>
        <v>23265.590146982231</v>
      </c>
      <c r="I93" s="2">
        <f t="shared" si="123"/>
        <v>23730.901949921878</v>
      </c>
      <c r="J93" s="2">
        <f t="shared" si="123"/>
        <v>24205.519988920314</v>
      </c>
      <c r="K93" s="2">
        <f t="shared" si="123"/>
        <v>24689.630388698723</v>
      </c>
      <c r="L93" s="2">
        <f>K93*1.02+2500</f>
        <v>27683.422996472698</v>
      </c>
      <c r="M93" s="2">
        <f t="shared" si="105"/>
        <v>27683.422996472698</v>
      </c>
    </row>
    <row r="94" spans="1:1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>
        <f>SUM(M82:M93)</f>
        <v>371292.55321039364</v>
      </c>
    </row>
    <row r="97" spans="1:14" x14ac:dyDescent="0.25">
      <c r="A97" s="1">
        <v>46023</v>
      </c>
      <c r="B97" t="s">
        <v>0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10</v>
      </c>
    </row>
    <row r="98" spans="1:14" x14ac:dyDescent="0.25">
      <c r="A98" s="2">
        <f>M82+2500</f>
        <v>36920.856922235856</v>
      </c>
      <c r="B98" s="2">
        <f>A98*1.02</f>
        <v>37659.274060680575</v>
      </c>
      <c r="C98" s="2">
        <f t="shared" ref="C98:L98" si="124">B98*1.02</f>
        <v>38412.45954189419</v>
      </c>
      <c r="D98" s="2">
        <f t="shared" si="124"/>
        <v>39180.708732732077</v>
      </c>
      <c r="E98" s="2">
        <f t="shared" si="124"/>
        <v>39964.322907386719</v>
      </c>
      <c r="F98" s="2">
        <f t="shared" si="124"/>
        <v>40763.609365534452</v>
      </c>
      <c r="G98" s="2">
        <f t="shared" si="124"/>
        <v>41578.881552845145</v>
      </c>
      <c r="H98" s="2">
        <f t="shared" si="124"/>
        <v>42410.45918390205</v>
      </c>
      <c r="I98" s="2">
        <f t="shared" si="124"/>
        <v>43258.668367580089</v>
      </c>
      <c r="J98" s="2">
        <f t="shared" si="124"/>
        <v>44123.841734931688</v>
      </c>
      <c r="K98" s="2">
        <f t="shared" si="124"/>
        <v>45006.318569630319</v>
      </c>
      <c r="L98" s="2">
        <f t="shared" si="124"/>
        <v>45906.444941022928</v>
      </c>
      <c r="M98" s="2">
        <f>L98</f>
        <v>45906.444941022928</v>
      </c>
      <c r="N98">
        <f>M98/A98-1</f>
        <v>0.24337430839465246</v>
      </c>
    </row>
    <row r="99" spans="1:14" x14ac:dyDescent="0.25">
      <c r="A99" s="2">
        <f t="shared" ref="A99:A109" si="125">M83</f>
        <v>33745.938159054764</v>
      </c>
      <c r="B99" s="2">
        <f>A99*1.02+2500</f>
        <v>36920.856922235856</v>
      </c>
      <c r="C99" s="2">
        <f t="shared" ref="C99:L99" si="126">B99*1.02</f>
        <v>37659.274060680575</v>
      </c>
      <c r="D99" s="2">
        <f t="shared" si="126"/>
        <v>38412.45954189419</v>
      </c>
      <c r="E99" s="2">
        <f t="shared" si="126"/>
        <v>39180.708732732077</v>
      </c>
      <c r="F99" s="2">
        <f t="shared" si="126"/>
        <v>39964.322907386719</v>
      </c>
      <c r="G99" s="2">
        <f t="shared" si="126"/>
        <v>40763.609365534452</v>
      </c>
      <c r="H99" s="2">
        <f t="shared" si="126"/>
        <v>41578.881552845145</v>
      </c>
      <c r="I99" s="2">
        <f t="shared" si="126"/>
        <v>42410.45918390205</v>
      </c>
      <c r="J99" s="2">
        <f t="shared" si="126"/>
        <v>43258.668367580089</v>
      </c>
      <c r="K99" s="2">
        <f t="shared" si="126"/>
        <v>44123.841734931688</v>
      </c>
      <c r="L99" s="2">
        <f t="shared" si="126"/>
        <v>45006.318569630319</v>
      </c>
      <c r="M99" s="2">
        <f t="shared" ref="M99:M109" si="127">L99</f>
        <v>45006.318569630319</v>
      </c>
    </row>
    <row r="100" spans="1:14" x14ac:dyDescent="0.25">
      <c r="A100" s="2">
        <f t="shared" si="125"/>
        <v>33084.253097112516</v>
      </c>
      <c r="B100" s="2">
        <f t="shared" ref="B100" si="128">A100*1.02</f>
        <v>33745.938159054764</v>
      </c>
      <c r="C100" s="2">
        <f>B100*1.02+2500</f>
        <v>36920.856922235856</v>
      </c>
      <c r="D100" s="2">
        <f t="shared" ref="D100:L100" si="129">C100*1.02</f>
        <v>37659.274060680575</v>
      </c>
      <c r="E100" s="2">
        <f t="shared" si="129"/>
        <v>38412.45954189419</v>
      </c>
      <c r="F100" s="2">
        <f t="shared" si="129"/>
        <v>39180.708732732077</v>
      </c>
      <c r="G100" s="2">
        <f t="shared" si="129"/>
        <v>39964.322907386719</v>
      </c>
      <c r="H100" s="2">
        <f t="shared" si="129"/>
        <v>40763.609365534452</v>
      </c>
      <c r="I100" s="2">
        <f t="shared" si="129"/>
        <v>41578.881552845145</v>
      </c>
      <c r="J100" s="2">
        <f t="shared" si="129"/>
        <v>42410.45918390205</v>
      </c>
      <c r="K100" s="2">
        <f t="shared" si="129"/>
        <v>43258.668367580089</v>
      </c>
      <c r="L100" s="2">
        <f t="shared" si="129"/>
        <v>44123.841734931688</v>
      </c>
      <c r="M100" s="2">
        <f t="shared" si="127"/>
        <v>44123.841734931688</v>
      </c>
    </row>
    <row r="101" spans="1:14" x14ac:dyDescent="0.25">
      <c r="A101" s="2">
        <f t="shared" si="125"/>
        <v>32435.542252071093</v>
      </c>
      <c r="B101" s="2">
        <f t="shared" ref="B101:C101" si="130">A101*1.02</f>
        <v>33084.253097112516</v>
      </c>
      <c r="C101" s="2">
        <f t="shared" si="130"/>
        <v>33745.938159054764</v>
      </c>
      <c r="D101" s="2">
        <f>C101*1.02+2500</f>
        <v>36920.856922235856</v>
      </c>
      <c r="E101" s="2">
        <f t="shared" ref="E101:L101" si="131">D101*1.02</f>
        <v>37659.274060680575</v>
      </c>
      <c r="F101" s="2">
        <f t="shared" si="131"/>
        <v>38412.45954189419</v>
      </c>
      <c r="G101" s="2">
        <f t="shared" si="131"/>
        <v>39180.708732732077</v>
      </c>
      <c r="H101" s="2">
        <f t="shared" si="131"/>
        <v>39964.322907386719</v>
      </c>
      <c r="I101" s="2">
        <f t="shared" si="131"/>
        <v>40763.609365534452</v>
      </c>
      <c r="J101" s="2">
        <f t="shared" si="131"/>
        <v>41578.881552845145</v>
      </c>
      <c r="K101" s="2">
        <f t="shared" si="131"/>
        <v>42410.45918390205</v>
      </c>
      <c r="L101" s="2">
        <f t="shared" si="131"/>
        <v>43258.668367580089</v>
      </c>
      <c r="M101" s="2">
        <f t="shared" si="127"/>
        <v>43258.668367580089</v>
      </c>
    </row>
    <row r="102" spans="1:14" x14ac:dyDescent="0.25">
      <c r="A102" s="2">
        <f t="shared" si="125"/>
        <v>31799.551227520678</v>
      </c>
      <c r="B102" s="2">
        <f t="shared" ref="B102:D102" si="132">A102*1.02</f>
        <v>32435.542252071093</v>
      </c>
      <c r="C102" s="2">
        <f t="shared" si="132"/>
        <v>33084.253097112516</v>
      </c>
      <c r="D102" s="2">
        <f t="shared" si="132"/>
        <v>33745.938159054764</v>
      </c>
      <c r="E102" s="2">
        <f>D102*1.02+2500</f>
        <v>36920.856922235856</v>
      </c>
      <c r="F102" s="2">
        <f t="shared" ref="F102:L102" si="133">E102*1.02</f>
        <v>37659.274060680575</v>
      </c>
      <c r="G102" s="2">
        <f t="shared" si="133"/>
        <v>38412.45954189419</v>
      </c>
      <c r="H102" s="2">
        <f t="shared" si="133"/>
        <v>39180.708732732077</v>
      </c>
      <c r="I102" s="2">
        <f t="shared" si="133"/>
        <v>39964.322907386719</v>
      </c>
      <c r="J102" s="2">
        <f t="shared" si="133"/>
        <v>40763.609365534452</v>
      </c>
      <c r="K102" s="2">
        <f t="shared" si="133"/>
        <v>41578.881552845145</v>
      </c>
      <c r="L102" s="2">
        <f t="shared" si="133"/>
        <v>42410.45918390205</v>
      </c>
      <c r="M102" s="2">
        <f t="shared" si="127"/>
        <v>42410.45918390205</v>
      </c>
    </row>
    <row r="103" spans="1:14" x14ac:dyDescent="0.25">
      <c r="A103" s="2">
        <f t="shared" si="125"/>
        <v>31176.03061521635</v>
      </c>
      <c r="B103" s="2">
        <f t="shared" ref="B103:E103" si="134">A103*1.02</f>
        <v>31799.551227520678</v>
      </c>
      <c r="C103" s="2">
        <f t="shared" si="134"/>
        <v>32435.542252071093</v>
      </c>
      <c r="D103" s="2">
        <f t="shared" si="134"/>
        <v>33084.253097112516</v>
      </c>
      <c r="E103" s="2">
        <f t="shared" si="134"/>
        <v>33745.938159054764</v>
      </c>
      <c r="F103" s="2">
        <f>E103*1.02+2500</f>
        <v>36920.856922235856</v>
      </c>
      <c r="G103" s="2">
        <f t="shared" ref="G103:L103" si="135">F103*1.02</f>
        <v>37659.274060680575</v>
      </c>
      <c r="H103" s="2">
        <f t="shared" si="135"/>
        <v>38412.45954189419</v>
      </c>
      <c r="I103" s="2">
        <f t="shared" si="135"/>
        <v>39180.708732732077</v>
      </c>
      <c r="J103" s="2">
        <f t="shared" si="135"/>
        <v>39964.322907386719</v>
      </c>
      <c r="K103" s="2">
        <f t="shared" si="135"/>
        <v>40763.609365534452</v>
      </c>
      <c r="L103" s="2">
        <f t="shared" si="135"/>
        <v>41578.881552845145</v>
      </c>
      <c r="M103" s="2">
        <f t="shared" si="127"/>
        <v>41578.881552845145</v>
      </c>
    </row>
    <row r="104" spans="1:14" x14ac:dyDescent="0.25">
      <c r="A104" s="2">
        <f t="shared" si="125"/>
        <v>30564.73589727093</v>
      </c>
      <c r="B104" s="2">
        <f t="shared" ref="B104:F104" si="136">A104*1.02</f>
        <v>31176.03061521635</v>
      </c>
      <c r="C104" s="2">
        <f t="shared" si="136"/>
        <v>31799.551227520678</v>
      </c>
      <c r="D104" s="2">
        <f t="shared" si="136"/>
        <v>32435.542252071093</v>
      </c>
      <c r="E104" s="2">
        <f t="shared" si="136"/>
        <v>33084.253097112516</v>
      </c>
      <c r="F104" s="2">
        <f t="shared" si="136"/>
        <v>33745.938159054764</v>
      </c>
      <c r="G104" s="2">
        <f>F104*1.02+2500</f>
        <v>36920.856922235856</v>
      </c>
      <c r="H104" s="2">
        <f t="shared" ref="H104:L104" si="137">G104*1.02</f>
        <v>37659.274060680575</v>
      </c>
      <c r="I104" s="2">
        <f t="shared" si="137"/>
        <v>38412.45954189419</v>
      </c>
      <c r="J104" s="2">
        <f t="shared" si="137"/>
        <v>39180.708732732077</v>
      </c>
      <c r="K104" s="2">
        <f t="shared" si="137"/>
        <v>39964.322907386719</v>
      </c>
      <c r="L104" s="2">
        <f t="shared" si="137"/>
        <v>40763.609365534452</v>
      </c>
      <c r="M104" s="2">
        <f t="shared" si="127"/>
        <v>40763.609365534452</v>
      </c>
    </row>
    <row r="105" spans="1:14" x14ac:dyDescent="0.25">
      <c r="A105" s="2">
        <f t="shared" si="125"/>
        <v>29965.427350265618</v>
      </c>
      <c r="B105" s="2">
        <f t="shared" ref="B105:G105" si="138">A105*1.02</f>
        <v>30564.73589727093</v>
      </c>
      <c r="C105" s="2">
        <f t="shared" si="138"/>
        <v>31176.03061521635</v>
      </c>
      <c r="D105" s="2">
        <f t="shared" si="138"/>
        <v>31799.551227520678</v>
      </c>
      <c r="E105" s="2">
        <f t="shared" si="138"/>
        <v>32435.542252071093</v>
      </c>
      <c r="F105" s="2">
        <f t="shared" si="138"/>
        <v>33084.253097112516</v>
      </c>
      <c r="G105" s="2">
        <f t="shared" si="138"/>
        <v>33745.938159054764</v>
      </c>
      <c r="H105" s="2">
        <f>G105*1.02+2500</f>
        <v>36920.856922235856</v>
      </c>
      <c r="I105" s="2">
        <f t="shared" ref="I105:L105" si="139">H105*1.02</f>
        <v>37659.274060680575</v>
      </c>
      <c r="J105" s="2">
        <f t="shared" si="139"/>
        <v>38412.45954189419</v>
      </c>
      <c r="K105" s="2">
        <f t="shared" si="139"/>
        <v>39180.708732732077</v>
      </c>
      <c r="L105" s="2">
        <f t="shared" si="139"/>
        <v>39964.322907386719</v>
      </c>
      <c r="M105" s="2">
        <f t="shared" si="127"/>
        <v>39964.322907386719</v>
      </c>
    </row>
    <row r="106" spans="1:14" x14ac:dyDescent="0.25">
      <c r="A106" s="2">
        <f t="shared" si="125"/>
        <v>29377.869951240802</v>
      </c>
      <c r="B106" s="2">
        <f t="shared" ref="B106:H106" si="140">A106*1.02</f>
        <v>29965.427350265618</v>
      </c>
      <c r="C106" s="2">
        <f t="shared" si="140"/>
        <v>30564.73589727093</v>
      </c>
      <c r="D106" s="2">
        <f t="shared" si="140"/>
        <v>31176.03061521635</v>
      </c>
      <c r="E106" s="2">
        <f t="shared" si="140"/>
        <v>31799.551227520678</v>
      </c>
      <c r="F106" s="2">
        <f t="shared" si="140"/>
        <v>32435.542252071093</v>
      </c>
      <c r="G106" s="2">
        <f t="shared" si="140"/>
        <v>33084.253097112516</v>
      </c>
      <c r="H106" s="2">
        <f t="shared" si="140"/>
        <v>33745.938159054764</v>
      </c>
      <c r="I106" s="2">
        <f>H106*1.02+2500</f>
        <v>36920.856922235856</v>
      </c>
      <c r="J106" s="2">
        <f t="shared" ref="J106:L106" si="141">I106*1.02</f>
        <v>37659.274060680575</v>
      </c>
      <c r="K106" s="2">
        <f t="shared" si="141"/>
        <v>38412.45954189419</v>
      </c>
      <c r="L106" s="2">
        <f t="shared" si="141"/>
        <v>39180.708732732077</v>
      </c>
      <c r="M106" s="2">
        <f t="shared" si="127"/>
        <v>39180.708732732077</v>
      </c>
    </row>
    <row r="107" spans="1:14" x14ac:dyDescent="0.25">
      <c r="A107" s="2">
        <f t="shared" si="125"/>
        <v>28801.833285530196</v>
      </c>
      <c r="B107" s="2">
        <f t="shared" ref="B107:I107" si="142">A107*1.02</f>
        <v>29377.869951240802</v>
      </c>
      <c r="C107" s="2">
        <f t="shared" si="142"/>
        <v>29965.427350265618</v>
      </c>
      <c r="D107" s="2">
        <f t="shared" si="142"/>
        <v>30564.73589727093</v>
      </c>
      <c r="E107" s="2">
        <f t="shared" si="142"/>
        <v>31176.03061521635</v>
      </c>
      <c r="F107" s="2">
        <f t="shared" si="142"/>
        <v>31799.551227520678</v>
      </c>
      <c r="G107" s="2">
        <f t="shared" si="142"/>
        <v>32435.542252071093</v>
      </c>
      <c r="H107" s="2">
        <f t="shared" si="142"/>
        <v>33084.253097112516</v>
      </c>
      <c r="I107" s="2">
        <f t="shared" si="142"/>
        <v>33745.938159054764</v>
      </c>
      <c r="J107" s="2">
        <f>I107*1.02+2500</f>
        <v>36920.856922235856</v>
      </c>
      <c r="K107" s="2">
        <f t="shared" ref="K107:L108" si="143">J107*1.02</f>
        <v>37659.274060680575</v>
      </c>
      <c r="L107" s="2">
        <f t="shared" si="143"/>
        <v>38412.45954189419</v>
      </c>
      <c r="M107" s="2">
        <f t="shared" si="127"/>
        <v>38412.45954189419</v>
      </c>
    </row>
    <row r="108" spans="1:14" x14ac:dyDescent="0.25">
      <c r="A108" s="2">
        <f t="shared" si="125"/>
        <v>28237.091456402151</v>
      </c>
      <c r="B108" s="2">
        <f t="shared" ref="B108:J108" si="144">A108*1.02</f>
        <v>28801.833285530196</v>
      </c>
      <c r="C108" s="2">
        <f t="shared" si="144"/>
        <v>29377.869951240802</v>
      </c>
      <c r="D108" s="2">
        <f t="shared" si="144"/>
        <v>29965.427350265618</v>
      </c>
      <c r="E108" s="2">
        <f t="shared" si="144"/>
        <v>30564.73589727093</v>
      </c>
      <c r="F108" s="2">
        <f t="shared" si="144"/>
        <v>31176.03061521635</v>
      </c>
      <c r="G108" s="2">
        <f t="shared" si="144"/>
        <v>31799.551227520678</v>
      </c>
      <c r="H108" s="2">
        <f t="shared" si="144"/>
        <v>32435.542252071093</v>
      </c>
      <c r="I108" s="2">
        <f t="shared" si="144"/>
        <v>33084.253097112516</v>
      </c>
      <c r="J108" s="2">
        <f t="shared" si="144"/>
        <v>33745.938159054764</v>
      </c>
      <c r="K108" s="2">
        <f>J108*1.02+2500</f>
        <v>36920.856922235856</v>
      </c>
      <c r="L108" s="2">
        <f t="shared" si="143"/>
        <v>37659.274060680575</v>
      </c>
      <c r="M108" s="2">
        <f t="shared" si="127"/>
        <v>37659.274060680575</v>
      </c>
    </row>
    <row r="109" spans="1:14" x14ac:dyDescent="0.25">
      <c r="A109" s="2">
        <f t="shared" si="125"/>
        <v>27683.422996472698</v>
      </c>
      <c r="B109" s="2">
        <f t="shared" ref="B109:K109" si="145">A109*1.02</f>
        <v>28237.091456402151</v>
      </c>
      <c r="C109" s="2">
        <f t="shared" si="145"/>
        <v>28801.833285530196</v>
      </c>
      <c r="D109" s="2">
        <f t="shared" si="145"/>
        <v>29377.869951240802</v>
      </c>
      <c r="E109" s="2">
        <f t="shared" si="145"/>
        <v>29965.427350265618</v>
      </c>
      <c r="F109" s="2">
        <f t="shared" si="145"/>
        <v>30564.73589727093</v>
      </c>
      <c r="G109" s="2">
        <f t="shared" si="145"/>
        <v>31176.03061521635</v>
      </c>
      <c r="H109" s="2">
        <f t="shared" si="145"/>
        <v>31799.551227520678</v>
      </c>
      <c r="I109" s="2">
        <f t="shared" si="145"/>
        <v>32435.542252071093</v>
      </c>
      <c r="J109" s="2">
        <f t="shared" si="145"/>
        <v>33084.253097112516</v>
      </c>
      <c r="K109" s="2">
        <f t="shared" si="145"/>
        <v>33745.938159054764</v>
      </c>
      <c r="L109" s="2">
        <f>K109*1.02+2500</f>
        <v>36920.856922235856</v>
      </c>
      <c r="M109" s="2">
        <f t="shared" si="127"/>
        <v>36920.856922235856</v>
      </c>
    </row>
    <row r="110" spans="1:1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>
        <f>SUM(M98:M109)</f>
        <v>495185.84588037612</v>
      </c>
    </row>
    <row r="113" spans="1:14" x14ac:dyDescent="0.25">
      <c r="A113" s="1">
        <v>46388</v>
      </c>
      <c r="B113" t="s">
        <v>0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10</v>
      </c>
    </row>
    <row r="114" spans="1:14" x14ac:dyDescent="0.25">
      <c r="A114" s="2">
        <f>M98-5000</f>
        <v>40906.444941022928</v>
      </c>
      <c r="B114" s="2">
        <f>A114*1.02</f>
        <v>41724.57383984339</v>
      </c>
      <c r="C114" s="2">
        <f t="shared" ref="C114:L114" si="146">B114*1.02</f>
        <v>42559.065316640255</v>
      </c>
      <c r="D114" s="2">
        <f t="shared" si="146"/>
        <v>43410.246622973063</v>
      </c>
      <c r="E114" s="2">
        <f t="shared" si="146"/>
        <v>44278.451555432526</v>
      </c>
      <c r="F114" s="2">
        <f t="shared" si="146"/>
        <v>45164.020586541177</v>
      </c>
      <c r="G114" s="2">
        <f t="shared" si="146"/>
        <v>46067.300998272003</v>
      </c>
      <c r="H114" s="2">
        <f t="shared" si="146"/>
        <v>46988.647018237447</v>
      </c>
      <c r="I114" s="2">
        <f t="shared" si="146"/>
        <v>47928.419958602193</v>
      </c>
      <c r="J114" s="2">
        <f t="shared" si="146"/>
        <v>48886.988357774237</v>
      </c>
      <c r="K114" s="2">
        <f t="shared" si="146"/>
        <v>49864.728124929723</v>
      </c>
      <c r="L114" s="2">
        <f t="shared" si="146"/>
        <v>50862.022687428318</v>
      </c>
      <c r="M114" s="2">
        <f>L114</f>
        <v>50862.022687428318</v>
      </c>
      <c r="N114">
        <f>M114/A114-1</f>
        <v>0.24337430839465268</v>
      </c>
    </row>
    <row r="115" spans="1:14" x14ac:dyDescent="0.25">
      <c r="A115" s="2">
        <f t="shared" ref="A115:A125" si="147">M99</f>
        <v>45006.318569630319</v>
      </c>
      <c r="B115" s="2">
        <f>A115*1.02-5000</f>
        <v>40906.444941022928</v>
      </c>
      <c r="C115" s="2">
        <f t="shared" ref="C115:L115" si="148">B115*1.02</f>
        <v>41724.57383984339</v>
      </c>
      <c r="D115" s="2">
        <f t="shared" si="148"/>
        <v>42559.065316640255</v>
      </c>
      <c r="E115" s="2">
        <f t="shared" si="148"/>
        <v>43410.246622973063</v>
      </c>
      <c r="F115" s="2">
        <f t="shared" si="148"/>
        <v>44278.451555432526</v>
      </c>
      <c r="G115" s="2">
        <f t="shared" si="148"/>
        <v>45164.020586541177</v>
      </c>
      <c r="H115" s="2">
        <f t="shared" si="148"/>
        <v>46067.300998272003</v>
      </c>
      <c r="I115" s="2">
        <f t="shared" si="148"/>
        <v>46988.647018237447</v>
      </c>
      <c r="J115" s="2">
        <f t="shared" si="148"/>
        <v>47928.419958602193</v>
      </c>
      <c r="K115" s="2">
        <f t="shared" si="148"/>
        <v>48886.988357774237</v>
      </c>
      <c r="L115" s="2">
        <f t="shared" si="148"/>
        <v>49864.728124929723</v>
      </c>
      <c r="M115" s="2">
        <f t="shared" ref="M115:M125" si="149">L115</f>
        <v>49864.728124929723</v>
      </c>
    </row>
    <row r="116" spans="1:14" x14ac:dyDescent="0.25">
      <c r="A116" s="2">
        <f t="shared" si="147"/>
        <v>44123.841734931688</v>
      </c>
      <c r="B116" s="2">
        <f t="shared" ref="B116" si="150">A116*1.02</f>
        <v>45006.318569630319</v>
      </c>
      <c r="C116" s="2">
        <f>B116*1.02-5000</f>
        <v>40906.444941022928</v>
      </c>
      <c r="D116" s="2">
        <f t="shared" ref="D116:L116" si="151">C116*1.02</f>
        <v>41724.57383984339</v>
      </c>
      <c r="E116" s="2">
        <f t="shared" si="151"/>
        <v>42559.065316640255</v>
      </c>
      <c r="F116" s="2">
        <f t="shared" si="151"/>
        <v>43410.246622973063</v>
      </c>
      <c r="G116" s="2">
        <f t="shared" si="151"/>
        <v>44278.451555432526</v>
      </c>
      <c r="H116" s="2">
        <f t="shared" si="151"/>
        <v>45164.020586541177</v>
      </c>
      <c r="I116" s="2">
        <f t="shared" si="151"/>
        <v>46067.300998272003</v>
      </c>
      <c r="J116" s="2">
        <f t="shared" si="151"/>
        <v>46988.647018237447</v>
      </c>
      <c r="K116" s="2">
        <f t="shared" si="151"/>
        <v>47928.419958602193</v>
      </c>
      <c r="L116" s="2">
        <f t="shared" si="151"/>
        <v>48886.988357774237</v>
      </c>
      <c r="M116" s="2">
        <f t="shared" si="149"/>
        <v>48886.988357774237</v>
      </c>
    </row>
    <row r="117" spans="1:14" x14ac:dyDescent="0.25">
      <c r="A117" s="2">
        <f t="shared" si="147"/>
        <v>43258.668367580089</v>
      </c>
      <c r="B117" s="2">
        <f t="shared" ref="B117:C117" si="152">A117*1.02</f>
        <v>44123.841734931688</v>
      </c>
      <c r="C117" s="2">
        <f t="shared" si="152"/>
        <v>45006.318569630319</v>
      </c>
      <c r="D117" s="2">
        <f>C117*1.02-5000</f>
        <v>40906.444941022928</v>
      </c>
      <c r="E117" s="2">
        <f t="shared" ref="E117:L117" si="153">D117*1.02</f>
        <v>41724.57383984339</v>
      </c>
      <c r="F117" s="2">
        <f t="shared" si="153"/>
        <v>42559.065316640255</v>
      </c>
      <c r="G117" s="2">
        <f t="shared" si="153"/>
        <v>43410.246622973063</v>
      </c>
      <c r="H117" s="2">
        <f t="shared" si="153"/>
        <v>44278.451555432526</v>
      </c>
      <c r="I117" s="2">
        <f t="shared" si="153"/>
        <v>45164.020586541177</v>
      </c>
      <c r="J117" s="2">
        <f t="shared" si="153"/>
        <v>46067.300998272003</v>
      </c>
      <c r="K117" s="2">
        <f t="shared" si="153"/>
        <v>46988.647018237447</v>
      </c>
      <c r="L117" s="2">
        <f t="shared" si="153"/>
        <v>47928.419958602193</v>
      </c>
      <c r="M117" s="2">
        <f t="shared" si="149"/>
        <v>47928.419958602193</v>
      </c>
    </row>
    <row r="118" spans="1:14" x14ac:dyDescent="0.25">
      <c r="A118" s="2">
        <f t="shared" si="147"/>
        <v>42410.45918390205</v>
      </c>
      <c r="B118" s="2">
        <f t="shared" ref="B118:D118" si="154">A118*1.02</f>
        <v>43258.668367580089</v>
      </c>
      <c r="C118" s="2">
        <f t="shared" si="154"/>
        <v>44123.841734931688</v>
      </c>
      <c r="D118" s="2">
        <f t="shared" si="154"/>
        <v>45006.318569630319</v>
      </c>
      <c r="E118" s="2">
        <f>D118*1.02-5000</f>
        <v>40906.444941022928</v>
      </c>
      <c r="F118" s="2">
        <f t="shared" ref="F118:L118" si="155">E118*1.02</f>
        <v>41724.57383984339</v>
      </c>
      <c r="G118" s="2">
        <f t="shared" si="155"/>
        <v>42559.065316640255</v>
      </c>
      <c r="H118" s="2">
        <f t="shared" si="155"/>
        <v>43410.246622973063</v>
      </c>
      <c r="I118" s="2">
        <f t="shared" si="155"/>
        <v>44278.451555432526</v>
      </c>
      <c r="J118" s="2">
        <f t="shared" si="155"/>
        <v>45164.020586541177</v>
      </c>
      <c r="K118" s="2">
        <f t="shared" si="155"/>
        <v>46067.300998272003</v>
      </c>
      <c r="L118" s="2">
        <f t="shared" si="155"/>
        <v>46988.647018237447</v>
      </c>
      <c r="M118" s="2">
        <f t="shared" si="149"/>
        <v>46988.647018237447</v>
      </c>
    </row>
    <row r="119" spans="1:14" x14ac:dyDescent="0.25">
      <c r="A119" s="2">
        <f t="shared" si="147"/>
        <v>41578.881552845145</v>
      </c>
      <c r="B119" s="2">
        <f t="shared" ref="B119:E119" si="156">A119*1.02</f>
        <v>42410.45918390205</v>
      </c>
      <c r="C119" s="2">
        <f t="shared" si="156"/>
        <v>43258.668367580089</v>
      </c>
      <c r="D119" s="2">
        <f t="shared" si="156"/>
        <v>44123.841734931688</v>
      </c>
      <c r="E119" s="2">
        <f t="shared" si="156"/>
        <v>45006.318569630319</v>
      </c>
      <c r="F119" s="2">
        <f>E119*1.02-5000</f>
        <v>40906.444941022928</v>
      </c>
      <c r="G119" s="2">
        <f t="shared" ref="G119:L119" si="157">F119*1.02</f>
        <v>41724.57383984339</v>
      </c>
      <c r="H119" s="2">
        <f t="shared" si="157"/>
        <v>42559.065316640255</v>
      </c>
      <c r="I119" s="2">
        <f t="shared" si="157"/>
        <v>43410.246622973063</v>
      </c>
      <c r="J119" s="2">
        <f t="shared" si="157"/>
        <v>44278.451555432526</v>
      </c>
      <c r="K119" s="2">
        <f t="shared" si="157"/>
        <v>45164.020586541177</v>
      </c>
      <c r="L119" s="2">
        <f t="shared" si="157"/>
        <v>46067.300998272003</v>
      </c>
      <c r="M119" s="2">
        <f t="shared" si="149"/>
        <v>46067.300998272003</v>
      </c>
    </row>
    <row r="120" spans="1:14" x14ac:dyDescent="0.25">
      <c r="A120" s="2">
        <f t="shared" si="147"/>
        <v>40763.609365534452</v>
      </c>
      <c r="B120" s="2">
        <f t="shared" ref="B120:F120" si="158">A120*1.02</f>
        <v>41578.881552845145</v>
      </c>
      <c r="C120" s="2">
        <f t="shared" si="158"/>
        <v>42410.45918390205</v>
      </c>
      <c r="D120" s="2">
        <f t="shared" si="158"/>
        <v>43258.668367580089</v>
      </c>
      <c r="E120" s="2">
        <f t="shared" si="158"/>
        <v>44123.841734931688</v>
      </c>
      <c r="F120" s="2">
        <f t="shared" si="158"/>
        <v>45006.318569630319</v>
      </c>
      <c r="G120" s="2">
        <f>F120*1.02-5000</f>
        <v>40906.444941022928</v>
      </c>
      <c r="H120" s="2">
        <f t="shared" ref="H120:L120" si="159">G120*1.02</f>
        <v>41724.57383984339</v>
      </c>
      <c r="I120" s="2">
        <f t="shared" si="159"/>
        <v>42559.065316640255</v>
      </c>
      <c r="J120" s="2">
        <f t="shared" si="159"/>
        <v>43410.246622973063</v>
      </c>
      <c r="K120" s="2">
        <f t="shared" si="159"/>
        <v>44278.451555432526</v>
      </c>
      <c r="L120" s="2">
        <f t="shared" si="159"/>
        <v>45164.020586541177</v>
      </c>
      <c r="M120" s="2">
        <f t="shared" si="149"/>
        <v>45164.020586541177</v>
      </c>
    </row>
    <row r="121" spans="1:14" x14ac:dyDescent="0.25">
      <c r="A121" s="2">
        <f t="shared" si="147"/>
        <v>39964.322907386719</v>
      </c>
      <c r="B121" s="2">
        <f t="shared" ref="B121:G121" si="160">A121*1.02</f>
        <v>40763.609365534452</v>
      </c>
      <c r="C121" s="2">
        <f t="shared" si="160"/>
        <v>41578.881552845145</v>
      </c>
      <c r="D121" s="2">
        <f t="shared" si="160"/>
        <v>42410.45918390205</v>
      </c>
      <c r="E121" s="2">
        <f t="shared" si="160"/>
        <v>43258.668367580089</v>
      </c>
      <c r="F121" s="2">
        <f t="shared" si="160"/>
        <v>44123.841734931688</v>
      </c>
      <c r="G121" s="2">
        <f t="shared" si="160"/>
        <v>45006.318569630319</v>
      </c>
      <c r="H121" s="2">
        <f>G121*1.02-5000</f>
        <v>40906.444941022928</v>
      </c>
      <c r="I121" s="2">
        <f t="shared" ref="I121:L121" si="161">H121*1.02</f>
        <v>41724.57383984339</v>
      </c>
      <c r="J121" s="2">
        <f t="shared" si="161"/>
        <v>42559.065316640255</v>
      </c>
      <c r="K121" s="2">
        <f t="shared" si="161"/>
        <v>43410.246622973063</v>
      </c>
      <c r="L121" s="2">
        <f t="shared" si="161"/>
        <v>44278.451555432526</v>
      </c>
      <c r="M121" s="2">
        <f t="shared" si="149"/>
        <v>44278.451555432526</v>
      </c>
    </row>
    <row r="122" spans="1:14" x14ac:dyDescent="0.25">
      <c r="A122" s="2">
        <f t="shared" si="147"/>
        <v>39180.708732732077</v>
      </c>
      <c r="B122" s="2">
        <f t="shared" ref="B122:H122" si="162">A122*1.02</f>
        <v>39964.322907386719</v>
      </c>
      <c r="C122" s="2">
        <f t="shared" si="162"/>
        <v>40763.609365534452</v>
      </c>
      <c r="D122" s="2">
        <f t="shared" si="162"/>
        <v>41578.881552845145</v>
      </c>
      <c r="E122" s="2">
        <f t="shared" si="162"/>
        <v>42410.45918390205</v>
      </c>
      <c r="F122" s="2">
        <f t="shared" si="162"/>
        <v>43258.668367580089</v>
      </c>
      <c r="G122" s="2">
        <f t="shared" si="162"/>
        <v>44123.841734931688</v>
      </c>
      <c r="H122" s="2">
        <f t="shared" si="162"/>
        <v>45006.318569630319</v>
      </c>
      <c r="I122" s="2">
        <f>H122*1.02-5000</f>
        <v>40906.444941022928</v>
      </c>
      <c r="J122" s="2">
        <f t="shared" ref="J122:L122" si="163">I122*1.02</f>
        <v>41724.57383984339</v>
      </c>
      <c r="K122" s="2">
        <f t="shared" si="163"/>
        <v>42559.065316640255</v>
      </c>
      <c r="L122" s="2">
        <f t="shared" si="163"/>
        <v>43410.246622973063</v>
      </c>
      <c r="M122" s="2">
        <f t="shared" si="149"/>
        <v>43410.246622973063</v>
      </c>
    </row>
    <row r="123" spans="1:14" x14ac:dyDescent="0.25">
      <c r="A123" s="2">
        <f t="shared" si="147"/>
        <v>38412.45954189419</v>
      </c>
      <c r="B123" s="2">
        <f t="shared" ref="B123:I123" si="164">A123*1.02</f>
        <v>39180.708732732077</v>
      </c>
      <c r="C123" s="2">
        <f t="shared" si="164"/>
        <v>39964.322907386719</v>
      </c>
      <c r="D123" s="2">
        <f t="shared" si="164"/>
        <v>40763.609365534452</v>
      </c>
      <c r="E123" s="2">
        <f t="shared" si="164"/>
        <v>41578.881552845145</v>
      </c>
      <c r="F123" s="2">
        <f t="shared" si="164"/>
        <v>42410.45918390205</v>
      </c>
      <c r="G123" s="2">
        <f t="shared" si="164"/>
        <v>43258.668367580089</v>
      </c>
      <c r="H123" s="2">
        <f t="shared" si="164"/>
        <v>44123.841734931688</v>
      </c>
      <c r="I123" s="2">
        <f t="shared" si="164"/>
        <v>45006.318569630319</v>
      </c>
      <c r="J123" s="2">
        <f>I123*1.02-5000</f>
        <v>40906.444941022928</v>
      </c>
      <c r="K123" s="2">
        <f t="shared" ref="K123:L124" si="165">J123*1.02</f>
        <v>41724.57383984339</v>
      </c>
      <c r="L123" s="2">
        <f t="shared" si="165"/>
        <v>42559.065316640255</v>
      </c>
      <c r="M123" s="2">
        <f t="shared" si="149"/>
        <v>42559.065316640255</v>
      </c>
    </row>
    <row r="124" spans="1:14" x14ac:dyDescent="0.25">
      <c r="A124" s="2">
        <f t="shared" si="147"/>
        <v>37659.274060680575</v>
      </c>
      <c r="B124" s="2">
        <f t="shared" ref="B124:J124" si="166">A124*1.02</f>
        <v>38412.45954189419</v>
      </c>
      <c r="C124" s="2">
        <f t="shared" si="166"/>
        <v>39180.708732732077</v>
      </c>
      <c r="D124" s="2">
        <f t="shared" si="166"/>
        <v>39964.322907386719</v>
      </c>
      <c r="E124" s="2">
        <f t="shared" si="166"/>
        <v>40763.609365534452</v>
      </c>
      <c r="F124" s="2">
        <f t="shared" si="166"/>
        <v>41578.881552845145</v>
      </c>
      <c r="G124" s="2">
        <f t="shared" si="166"/>
        <v>42410.45918390205</v>
      </c>
      <c r="H124" s="2">
        <f t="shared" si="166"/>
        <v>43258.668367580089</v>
      </c>
      <c r="I124" s="2">
        <f t="shared" si="166"/>
        <v>44123.841734931688</v>
      </c>
      <c r="J124" s="2">
        <f t="shared" si="166"/>
        <v>45006.318569630319</v>
      </c>
      <c r="K124" s="2">
        <f>J124*1.02-5000</f>
        <v>40906.444941022928</v>
      </c>
      <c r="L124" s="2">
        <f t="shared" si="165"/>
        <v>41724.57383984339</v>
      </c>
      <c r="M124" s="2">
        <f t="shared" si="149"/>
        <v>41724.57383984339</v>
      </c>
    </row>
    <row r="125" spans="1:14" x14ac:dyDescent="0.25">
      <c r="A125" s="2">
        <f t="shared" si="147"/>
        <v>36920.856922235856</v>
      </c>
      <c r="B125" s="2">
        <f t="shared" ref="B125:K125" si="167">A125*1.02</f>
        <v>37659.274060680575</v>
      </c>
      <c r="C125" s="2">
        <f t="shared" si="167"/>
        <v>38412.45954189419</v>
      </c>
      <c r="D125" s="2">
        <f t="shared" si="167"/>
        <v>39180.708732732077</v>
      </c>
      <c r="E125" s="2">
        <f t="shared" si="167"/>
        <v>39964.322907386719</v>
      </c>
      <c r="F125" s="2">
        <f t="shared" si="167"/>
        <v>40763.609365534452</v>
      </c>
      <c r="G125" s="2">
        <f t="shared" si="167"/>
        <v>41578.881552845145</v>
      </c>
      <c r="H125" s="2">
        <f t="shared" si="167"/>
        <v>42410.45918390205</v>
      </c>
      <c r="I125" s="2">
        <f t="shared" si="167"/>
        <v>43258.668367580089</v>
      </c>
      <c r="J125" s="2">
        <f t="shared" si="167"/>
        <v>44123.841734931688</v>
      </c>
      <c r="K125" s="2">
        <f t="shared" si="167"/>
        <v>45006.318569630319</v>
      </c>
      <c r="L125" s="2">
        <f>K125*1.02-5000</f>
        <v>40906.444941022928</v>
      </c>
      <c r="M125" s="2">
        <f t="shared" si="149"/>
        <v>40906.444941022928</v>
      </c>
    </row>
    <row r="126" spans="1:1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>
        <f>SUM(M114:M125)</f>
        <v>548640.9100076973</v>
      </c>
    </row>
    <row r="129" spans="1:14" x14ac:dyDescent="0.25">
      <c r="A129" s="1">
        <v>46753</v>
      </c>
      <c r="B129" t="s">
        <v>0</v>
      </c>
      <c r="C129" t="s">
        <v>1</v>
      </c>
      <c r="D129" t="s">
        <v>2</v>
      </c>
      <c r="E129" t="s">
        <v>3</v>
      </c>
      <c r="F129" t="s">
        <v>4</v>
      </c>
      <c r="G129" t="s">
        <v>5</v>
      </c>
      <c r="H129" t="s">
        <v>6</v>
      </c>
      <c r="I129" t="s">
        <v>7</v>
      </c>
      <c r="J129" t="s">
        <v>8</v>
      </c>
      <c r="K129" t="s">
        <v>9</v>
      </c>
      <c r="L129" t="s">
        <v>10</v>
      </c>
    </row>
    <row r="130" spans="1:14" x14ac:dyDescent="0.25">
      <c r="A130" s="2">
        <f>M114-5000</f>
        <v>45862.022687428318</v>
      </c>
      <c r="B130" s="2">
        <f>A130*1.02</f>
        <v>46779.263141176882</v>
      </c>
      <c r="C130" s="2">
        <f t="shared" ref="C130:L130" si="168">B130*1.02</f>
        <v>47714.848404000419</v>
      </c>
      <c r="D130" s="2">
        <f t="shared" si="168"/>
        <v>48669.145372080427</v>
      </c>
      <c r="E130" s="2">
        <f t="shared" si="168"/>
        <v>49642.528279522034</v>
      </c>
      <c r="F130" s="2">
        <f t="shared" si="168"/>
        <v>50635.378845112478</v>
      </c>
      <c r="G130" s="2">
        <f t="shared" si="168"/>
        <v>51648.086422014727</v>
      </c>
      <c r="H130" s="2">
        <f t="shared" si="168"/>
        <v>52681.048150455019</v>
      </c>
      <c r="I130" s="2">
        <f t="shared" si="168"/>
        <v>53734.669113464122</v>
      </c>
      <c r="J130" s="2">
        <f t="shared" si="168"/>
        <v>54809.362495733403</v>
      </c>
      <c r="K130" s="2">
        <f t="shared" si="168"/>
        <v>55905.549745648073</v>
      </c>
      <c r="L130" s="2">
        <f t="shared" si="168"/>
        <v>57023.660740561034</v>
      </c>
      <c r="M130" s="2">
        <f>L130</f>
        <v>57023.660740561034</v>
      </c>
      <c r="N130">
        <f>M130/A130-1</f>
        <v>0.24337430839465224</v>
      </c>
    </row>
    <row r="131" spans="1:14" x14ac:dyDescent="0.25">
      <c r="A131" s="2">
        <f t="shared" ref="A131:A141" si="169">M115</f>
        <v>49864.728124929723</v>
      </c>
      <c r="B131" s="2">
        <f>A131*1.02-5000</f>
        <v>45862.022687428318</v>
      </c>
      <c r="C131" s="2">
        <f t="shared" ref="C131:L131" si="170">B131*1.02</f>
        <v>46779.263141176882</v>
      </c>
      <c r="D131" s="2">
        <f t="shared" si="170"/>
        <v>47714.848404000419</v>
      </c>
      <c r="E131" s="2">
        <f t="shared" si="170"/>
        <v>48669.145372080427</v>
      </c>
      <c r="F131" s="2">
        <f t="shared" si="170"/>
        <v>49642.528279522034</v>
      </c>
      <c r="G131" s="2">
        <f t="shared" si="170"/>
        <v>50635.378845112478</v>
      </c>
      <c r="H131" s="2">
        <f t="shared" si="170"/>
        <v>51648.086422014727</v>
      </c>
      <c r="I131" s="2">
        <f t="shared" si="170"/>
        <v>52681.048150455019</v>
      </c>
      <c r="J131" s="2">
        <f t="shared" si="170"/>
        <v>53734.669113464122</v>
      </c>
      <c r="K131" s="2">
        <f t="shared" si="170"/>
        <v>54809.362495733403</v>
      </c>
      <c r="L131" s="2">
        <f t="shared" si="170"/>
        <v>55905.549745648073</v>
      </c>
      <c r="M131" s="2">
        <f t="shared" ref="M131:M141" si="171">L131</f>
        <v>55905.549745648073</v>
      </c>
    </row>
    <row r="132" spans="1:14" x14ac:dyDescent="0.25">
      <c r="A132" s="2">
        <f t="shared" si="169"/>
        <v>48886.988357774237</v>
      </c>
      <c r="B132" s="2">
        <f t="shared" ref="B132" si="172">A132*1.02</f>
        <v>49864.728124929723</v>
      </c>
      <c r="C132" s="2">
        <f>B132*1.02-5000</f>
        <v>45862.022687428318</v>
      </c>
      <c r="D132" s="2">
        <f t="shared" ref="D132:L132" si="173">C132*1.02</f>
        <v>46779.263141176882</v>
      </c>
      <c r="E132" s="2">
        <f t="shared" si="173"/>
        <v>47714.848404000419</v>
      </c>
      <c r="F132" s="2">
        <f t="shared" si="173"/>
        <v>48669.145372080427</v>
      </c>
      <c r="G132" s="2">
        <f t="shared" si="173"/>
        <v>49642.528279522034</v>
      </c>
      <c r="H132" s="2">
        <f t="shared" si="173"/>
        <v>50635.378845112478</v>
      </c>
      <c r="I132" s="2">
        <f t="shared" si="173"/>
        <v>51648.086422014727</v>
      </c>
      <c r="J132" s="2">
        <f t="shared" si="173"/>
        <v>52681.048150455019</v>
      </c>
      <c r="K132" s="2">
        <f t="shared" si="173"/>
        <v>53734.669113464122</v>
      </c>
      <c r="L132" s="2">
        <f t="shared" si="173"/>
        <v>54809.362495733403</v>
      </c>
      <c r="M132" s="2">
        <f t="shared" si="171"/>
        <v>54809.362495733403</v>
      </c>
    </row>
    <row r="133" spans="1:14" x14ac:dyDescent="0.25">
      <c r="A133" s="2">
        <f t="shared" si="169"/>
        <v>47928.419958602193</v>
      </c>
      <c r="B133" s="2">
        <f t="shared" ref="B133:C133" si="174">A133*1.02</f>
        <v>48886.988357774237</v>
      </c>
      <c r="C133" s="2">
        <f t="shared" si="174"/>
        <v>49864.728124929723</v>
      </c>
      <c r="D133" s="2">
        <f>C133*1.02-5000</f>
        <v>45862.022687428318</v>
      </c>
      <c r="E133" s="2">
        <f t="shared" ref="E133:L133" si="175">D133*1.02</f>
        <v>46779.263141176882</v>
      </c>
      <c r="F133" s="2">
        <f t="shared" si="175"/>
        <v>47714.848404000419</v>
      </c>
      <c r="G133" s="2">
        <f t="shared" si="175"/>
        <v>48669.145372080427</v>
      </c>
      <c r="H133" s="2">
        <f t="shared" si="175"/>
        <v>49642.528279522034</v>
      </c>
      <c r="I133" s="2">
        <f t="shared" si="175"/>
        <v>50635.378845112478</v>
      </c>
      <c r="J133" s="2">
        <f t="shared" si="175"/>
        <v>51648.086422014727</v>
      </c>
      <c r="K133" s="2">
        <f t="shared" si="175"/>
        <v>52681.048150455019</v>
      </c>
      <c r="L133" s="2">
        <f t="shared" si="175"/>
        <v>53734.669113464122</v>
      </c>
      <c r="M133" s="2">
        <f t="shared" si="171"/>
        <v>53734.669113464122</v>
      </c>
    </row>
    <row r="134" spans="1:14" x14ac:dyDescent="0.25">
      <c r="A134" s="2">
        <f t="shared" si="169"/>
        <v>46988.647018237447</v>
      </c>
      <c r="B134" s="2">
        <f t="shared" ref="B134:D134" si="176">A134*1.02</f>
        <v>47928.419958602193</v>
      </c>
      <c r="C134" s="2">
        <f t="shared" si="176"/>
        <v>48886.988357774237</v>
      </c>
      <c r="D134" s="2">
        <f t="shared" si="176"/>
        <v>49864.728124929723</v>
      </c>
      <c r="E134" s="2">
        <f>D134*1.02-5000</f>
        <v>45862.022687428318</v>
      </c>
      <c r="F134" s="2">
        <f t="shared" ref="F134:L134" si="177">E134*1.02</f>
        <v>46779.263141176882</v>
      </c>
      <c r="G134" s="2">
        <f t="shared" si="177"/>
        <v>47714.848404000419</v>
      </c>
      <c r="H134" s="2">
        <f t="shared" si="177"/>
        <v>48669.145372080427</v>
      </c>
      <c r="I134" s="2">
        <f t="shared" si="177"/>
        <v>49642.528279522034</v>
      </c>
      <c r="J134" s="2">
        <f t="shared" si="177"/>
        <v>50635.378845112478</v>
      </c>
      <c r="K134" s="2">
        <f t="shared" si="177"/>
        <v>51648.086422014727</v>
      </c>
      <c r="L134" s="2">
        <f t="shared" si="177"/>
        <v>52681.048150455019</v>
      </c>
      <c r="M134" s="2">
        <f t="shared" si="171"/>
        <v>52681.048150455019</v>
      </c>
    </row>
    <row r="135" spans="1:14" x14ac:dyDescent="0.25">
      <c r="A135" s="2">
        <f t="shared" si="169"/>
        <v>46067.300998272003</v>
      </c>
      <c r="B135" s="2">
        <f t="shared" ref="B135:E135" si="178">A135*1.02</f>
        <v>46988.647018237447</v>
      </c>
      <c r="C135" s="2">
        <f t="shared" si="178"/>
        <v>47928.419958602193</v>
      </c>
      <c r="D135" s="2">
        <f t="shared" si="178"/>
        <v>48886.988357774237</v>
      </c>
      <c r="E135" s="2">
        <f t="shared" si="178"/>
        <v>49864.728124929723</v>
      </c>
      <c r="F135" s="2">
        <f>E135*1.02-5000</f>
        <v>45862.022687428318</v>
      </c>
      <c r="G135" s="2">
        <f t="shared" ref="G135:L135" si="179">F135*1.02</f>
        <v>46779.263141176882</v>
      </c>
      <c r="H135" s="2">
        <f t="shared" si="179"/>
        <v>47714.848404000419</v>
      </c>
      <c r="I135" s="2">
        <f t="shared" si="179"/>
        <v>48669.145372080427</v>
      </c>
      <c r="J135" s="2">
        <f t="shared" si="179"/>
        <v>49642.528279522034</v>
      </c>
      <c r="K135" s="2">
        <f t="shared" si="179"/>
        <v>50635.378845112478</v>
      </c>
      <c r="L135" s="2">
        <f t="shared" si="179"/>
        <v>51648.086422014727</v>
      </c>
      <c r="M135" s="2">
        <f t="shared" si="171"/>
        <v>51648.086422014727</v>
      </c>
    </row>
    <row r="136" spans="1:14" x14ac:dyDescent="0.25">
      <c r="A136" s="2">
        <f t="shared" si="169"/>
        <v>45164.020586541177</v>
      </c>
      <c r="B136" s="2">
        <f t="shared" ref="B136:F136" si="180">A136*1.02</f>
        <v>46067.300998272003</v>
      </c>
      <c r="C136" s="2">
        <f t="shared" si="180"/>
        <v>46988.647018237447</v>
      </c>
      <c r="D136" s="2">
        <f t="shared" si="180"/>
        <v>47928.419958602193</v>
      </c>
      <c r="E136" s="2">
        <f t="shared" si="180"/>
        <v>48886.988357774237</v>
      </c>
      <c r="F136" s="2">
        <f t="shared" si="180"/>
        <v>49864.728124929723</v>
      </c>
      <c r="G136" s="2">
        <f>F136*1.02-5000</f>
        <v>45862.022687428318</v>
      </c>
      <c r="H136" s="2">
        <f t="shared" ref="H136:L136" si="181">G136*1.02</f>
        <v>46779.263141176882</v>
      </c>
      <c r="I136" s="2">
        <f t="shared" si="181"/>
        <v>47714.848404000419</v>
      </c>
      <c r="J136" s="2">
        <f t="shared" si="181"/>
        <v>48669.145372080427</v>
      </c>
      <c r="K136" s="2">
        <f t="shared" si="181"/>
        <v>49642.528279522034</v>
      </c>
      <c r="L136" s="2">
        <f t="shared" si="181"/>
        <v>50635.378845112478</v>
      </c>
      <c r="M136" s="2">
        <f t="shared" si="171"/>
        <v>50635.378845112478</v>
      </c>
    </row>
    <row r="137" spans="1:14" x14ac:dyDescent="0.25">
      <c r="A137" s="2">
        <f t="shared" si="169"/>
        <v>44278.451555432526</v>
      </c>
      <c r="B137" s="2">
        <f t="shared" ref="B137:G137" si="182">A137*1.02</f>
        <v>45164.020586541177</v>
      </c>
      <c r="C137" s="2">
        <f t="shared" si="182"/>
        <v>46067.300998272003</v>
      </c>
      <c r="D137" s="2">
        <f t="shared" si="182"/>
        <v>46988.647018237447</v>
      </c>
      <c r="E137" s="2">
        <f t="shared" si="182"/>
        <v>47928.419958602193</v>
      </c>
      <c r="F137" s="2">
        <f t="shared" si="182"/>
        <v>48886.988357774237</v>
      </c>
      <c r="G137" s="2">
        <f t="shared" si="182"/>
        <v>49864.728124929723</v>
      </c>
      <c r="H137" s="2">
        <f>G137*1.02-5000</f>
        <v>45862.022687428318</v>
      </c>
      <c r="I137" s="2">
        <f t="shared" ref="I137:L137" si="183">H137*1.02</f>
        <v>46779.263141176882</v>
      </c>
      <c r="J137" s="2">
        <f t="shared" si="183"/>
        <v>47714.848404000419</v>
      </c>
      <c r="K137" s="2">
        <f t="shared" si="183"/>
        <v>48669.145372080427</v>
      </c>
      <c r="L137" s="2">
        <f t="shared" si="183"/>
        <v>49642.528279522034</v>
      </c>
      <c r="M137" s="2">
        <f t="shared" si="171"/>
        <v>49642.528279522034</v>
      </c>
    </row>
    <row r="138" spans="1:14" x14ac:dyDescent="0.25">
      <c r="A138" s="2">
        <f t="shared" si="169"/>
        <v>43410.246622973063</v>
      </c>
      <c r="B138" s="2">
        <f t="shared" ref="B138:H138" si="184">A138*1.02</f>
        <v>44278.451555432526</v>
      </c>
      <c r="C138" s="2">
        <f t="shared" si="184"/>
        <v>45164.020586541177</v>
      </c>
      <c r="D138" s="2">
        <f t="shared" si="184"/>
        <v>46067.300998272003</v>
      </c>
      <c r="E138" s="2">
        <f t="shared" si="184"/>
        <v>46988.647018237447</v>
      </c>
      <c r="F138" s="2">
        <f t="shared" si="184"/>
        <v>47928.419958602193</v>
      </c>
      <c r="G138" s="2">
        <f t="shared" si="184"/>
        <v>48886.988357774237</v>
      </c>
      <c r="H138" s="2">
        <f t="shared" si="184"/>
        <v>49864.728124929723</v>
      </c>
      <c r="I138" s="2">
        <f>H138*1.02-5000</f>
        <v>45862.022687428318</v>
      </c>
      <c r="J138" s="2">
        <f t="shared" ref="J138:L138" si="185">I138*1.02</f>
        <v>46779.263141176882</v>
      </c>
      <c r="K138" s="2">
        <f t="shared" si="185"/>
        <v>47714.848404000419</v>
      </c>
      <c r="L138" s="2">
        <f t="shared" si="185"/>
        <v>48669.145372080427</v>
      </c>
      <c r="M138" s="2">
        <f t="shared" si="171"/>
        <v>48669.145372080427</v>
      </c>
    </row>
    <row r="139" spans="1:14" x14ac:dyDescent="0.25">
      <c r="A139" s="2">
        <f t="shared" si="169"/>
        <v>42559.065316640255</v>
      </c>
      <c r="B139" s="2">
        <f t="shared" ref="B139:I139" si="186">A139*1.02</f>
        <v>43410.246622973063</v>
      </c>
      <c r="C139" s="2">
        <f t="shared" si="186"/>
        <v>44278.451555432526</v>
      </c>
      <c r="D139" s="2">
        <f t="shared" si="186"/>
        <v>45164.020586541177</v>
      </c>
      <c r="E139" s="2">
        <f t="shared" si="186"/>
        <v>46067.300998272003</v>
      </c>
      <c r="F139" s="2">
        <f t="shared" si="186"/>
        <v>46988.647018237447</v>
      </c>
      <c r="G139" s="2">
        <f t="shared" si="186"/>
        <v>47928.419958602193</v>
      </c>
      <c r="H139" s="2">
        <f t="shared" si="186"/>
        <v>48886.988357774237</v>
      </c>
      <c r="I139" s="2">
        <f t="shared" si="186"/>
        <v>49864.728124929723</v>
      </c>
      <c r="J139" s="2">
        <f>I139*1.02-5000</f>
        <v>45862.022687428318</v>
      </c>
      <c r="K139" s="2">
        <f t="shared" ref="K139:L139" si="187">J139*1.02</f>
        <v>46779.263141176882</v>
      </c>
      <c r="L139" s="2">
        <f t="shared" si="187"/>
        <v>47714.848404000419</v>
      </c>
      <c r="M139" s="2">
        <f t="shared" si="171"/>
        <v>47714.848404000419</v>
      </c>
    </row>
    <row r="140" spans="1:14" x14ac:dyDescent="0.25">
      <c r="A140" s="2">
        <f t="shared" si="169"/>
        <v>41724.57383984339</v>
      </c>
      <c r="B140" s="2">
        <f t="shared" ref="B140:J140" si="188">A140*1.02</f>
        <v>42559.065316640255</v>
      </c>
      <c r="C140" s="2">
        <f t="shared" si="188"/>
        <v>43410.246622973063</v>
      </c>
      <c r="D140" s="2">
        <f t="shared" si="188"/>
        <v>44278.451555432526</v>
      </c>
      <c r="E140" s="2">
        <f t="shared" si="188"/>
        <v>45164.020586541177</v>
      </c>
      <c r="F140" s="2">
        <f t="shared" si="188"/>
        <v>46067.300998272003</v>
      </c>
      <c r="G140" s="2">
        <f t="shared" si="188"/>
        <v>46988.647018237447</v>
      </c>
      <c r="H140" s="2">
        <f t="shared" si="188"/>
        <v>47928.419958602193</v>
      </c>
      <c r="I140" s="2">
        <f t="shared" si="188"/>
        <v>48886.988357774237</v>
      </c>
      <c r="J140" s="2">
        <f t="shared" si="188"/>
        <v>49864.728124929723</v>
      </c>
      <c r="K140" s="2">
        <f>J140*1.02-5000</f>
        <v>45862.022687428318</v>
      </c>
      <c r="L140" s="2">
        <f t="shared" ref="L140" si="189">K140*1.02</f>
        <v>46779.263141176882</v>
      </c>
      <c r="M140" s="2">
        <f t="shared" si="171"/>
        <v>46779.263141176882</v>
      </c>
    </row>
    <row r="141" spans="1:14" x14ac:dyDescent="0.25">
      <c r="A141" s="2">
        <f t="shared" si="169"/>
        <v>40906.444941022928</v>
      </c>
      <c r="B141" s="2">
        <f t="shared" ref="B141:K141" si="190">A141*1.02</f>
        <v>41724.57383984339</v>
      </c>
      <c r="C141" s="2">
        <f t="shared" si="190"/>
        <v>42559.065316640255</v>
      </c>
      <c r="D141" s="2">
        <f t="shared" si="190"/>
        <v>43410.246622973063</v>
      </c>
      <c r="E141" s="2">
        <f t="shared" si="190"/>
        <v>44278.451555432526</v>
      </c>
      <c r="F141" s="2">
        <f t="shared" si="190"/>
        <v>45164.020586541177</v>
      </c>
      <c r="G141" s="2">
        <f t="shared" si="190"/>
        <v>46067.300998272003</v>
      </c>
      <c r="H141" s="2">
        <f t="shared" si="190"/>
        <v>46988.647018237447</v>
      </c>
      <c r="I141" s="2">
        <f t="shared" si="190"/>
        <v>47928.419958602193</v>
      </c>
      <c r="J141" s="2">
        <f t="shared" si="190"/>
        <v>48886.988357774237</v>
      </c>
      <c r="K141" s="2">
        <f t="shared" si="190"/>
        <v>49864.728124929723</v>
      </c>
      <c r="L141" s="2">
        <f>K141*1.02-5000</f>
        <v>45862.022687428318</v>
      </c>
      <c r="M141" s="2">
        <f t="shared" si="171"/>
        <v>45862.022687428318</v>
      </c>
    </row>
    <row r="142" spans="1:1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>
        <f>SUM(M130:M141)</f>
        <v>615105.56339719682</v>
      </c>
    </row>
    <row r="145" spans="1:14" x14ac:dyDescent="0.25">
      <c r="A145" s="1">
        <v>47119</v>
      </c>
      <c r="B145" t="s">
        <v>0</v>
      </c>
      <c r="C145" t="s">
        <v>1</v>
      </c>
      <c r="D145" t="s">
        <v>2</v>
      </c>
      <c r="E145" t="s">
        <v>3</v>
      </c>
      <c r="F145" t="s">
        <v>4</v>
      </c>
      <c r="G145" t="s">
        <v>5</v>
      </c>
      <c r="H145" t="s">
        <v>6</v>
      </c>
      <c r="I145" t="s">
        <v>7</v>
      </c>
      <c r="J145" t="s">
        <v>8</v>
      </c>
      <c r="K145" t="s">
        <v>9</v>
      </c>
      <c r="L145" t="s">
        <v>10</v>
      </c>
    </row>
    <row r="146" spans="1:14" x14ac:dyDescent="0.25">
      <c r="A146" s="2">
        <f>M130-5000</f>
        <v>52023.660740561034</v>
      </c>
      <c r="B146" s="2">
        <f>A146*1.02</f>
        <v>53064.133955372257</v>
      </c>
      <c r="C146" s="2">
        <f t="shared" ref="C146:L146" si="191">B146*1.02</f>
        <v>54125.416634479705</v>
      </c>
      <c r="D146" s="2">
        <f t="shared" si="191"/>
        <v>55207.924967169303</v>
      </c>
      <c r="E146" s="2">
        <f t="shared" si="191"/>
        <v>56312.083466512689</v>
      </c>
      <c r="F146" s="2">
        <f t="shared" si="191"/>
        <v>57438.325135842941</v>
      </c>
      <c r="G146" s="2">
        <f t="shared" si="191"/>
        <v>58587.091638559803</v>
      </c>
      <c r="H146" s="2">
        <f t="shared" si="191"/>
        <v>59758.833471331003</v>
      </c>
      <c r="I146" s="2">
        <f t="shared" si="191"/>
        <v>60954.010140757622</v>
      </c>
      <c r="J146" s="2">
        <f t="shared" si="191"/>
        <v>62173.090343572774</v>
      </c>
      <c r="K146" s="2">
        <f t="shared" si="191"/>
        <v>63416.552150444229</v>
      </c>
      <c r="L146" s="2">
        <f t="shared" si="191"/>
        <v>64684.883193453112</v>
      </c>
      <c r="M146" s="2">
        <f>L146</f>
        <v>64684.883193453112</v>
      </c>
      <c r="N146">
        <f>M146/A146-1</f>
        <v>0.24337430839465246</v>
      </c>
    </row>
    <row r="147" spans="1:14" x14ac:dyDescent="0.25">
      <c r="A147" s="2">
        <f t="shared" ref="A147:A157" si="192">M131</f>
        <v>55905.549745648073</v>
      </c>
      <c r="B147" s="2">
        <f>A147*1.02-5000</f>
        <v>52023.660740561034</v>
      </c>
      <c r="C147" s="2">
        <f t="shared" ref="C147:L147" si="193">B147*1.02</f>
        <v>53064.133955372257</v>
      </c>
      <c r="D147" s="2">
        <f t="shared" si="193"/>
        <v>54125.416634479705</v>
      </c>
      <c r="E147" s="2">
        <f t="shared" si="193"/>
        <v>55207.924967169303</v>
      </c>
      <c r="F147" s="2">
        <f t="shared" si="193"/>
        <v>56312.083466512689</v>
      </c>
      <c r="G147" s="2">
        <f t="shared" si="193"/>
        <v>57438.325135842941</v>
      </c>
      <c r="H147" s="2">
        <f t="shared" si="193"/>
        <v>58587.091638559803</v>
      </c>
      <c r="I147" s="2">
        <f t="shared" si="193"/>
        <v>59758.833471331003</v>
      </c>
      <c r="J147" s="2">
        <f t="shared" si="193"/>
        <v>60954.010140757622</v>
      </c>
      <c r="K147" s="2">
        <f t="shared" si="193"/>
        <v>62173.090343572774</v>
      </c>
      <c r="L147" s="2">
        <f t="shared" si="193"/>
        <v>63416.552150444229</v>
      </c>
      <c r="M147" s="2">
        <f t="shared" ref="M147:M157" si="194">L147</f>
        <v>63416.552150444229</v>
      </c>
    </row>
    <row r="148" spans="1:14" x14ac:dyDescent="0.25">
      <c r="A148" s="2">
        <f t="shared" si="192"/>
        <v>54809.362495733403</v>
      </c>
      <c r="B148" s="2">
        <f t="shared" ref="B148" si="195">A148*1.02</f>
        <v>55905.549745648073</v>
      </c>
      <c r="C148" s="2">
        <f>B148*1.02-5000</f>
        <v>52023.660740561034</v>
      </c>
      <c r="D148" s="2">
        <f t="shared" ref="D148:L148" si="196">C148*1.02</f>
        <v>53064.133955372257</v>
      </c>
      <c r="E148" s="2">
        <f t="shared" si="196"/>
        <v>54125.416634479705</v>
      </c>
      <c r="F148" s="2">
        <f t="shared" si="196"/>
        <v>55207.924967169303</v>
      </c>
      <c r="G148" s="2">
        <f t="shared" si="196"/>
        <v>56312.083466512689</v>
      </c>
      <c r="H148" s="2">
        <f t="shared" si="196"/>
        <v>57438.325135842941</v>
      </c>
      <c r="I148" s="2">
        <f t="shared" si="196"/>
        <v>58587.091638559803</v>
      </c>
      <c r="J148" s="2">
        <f t="shared" si="196"/>
        <v>59758.833471331003</v>
      </c>
      <c r="K148" s="2">
        <f t="shared" si="196"/>
        <v>60954.010140757622</v>
      </c>
      <c r="L148" s="2">
        <f t="shared" si="196"/>
        <v>62173.090343572774</v>
      </c>
      <c r="M148" s="2">
        <f t="shared" si="194"/>
        <v>62173.090343572774</v>
      </c>
    </row>
    <row r="149" spans="1:14" x14ac:dyDescent="0.25">
      <c r="A149" s="2">
        <f t="shared" si="192"/>
        <v>53734.669113464122</v>
      </c>
      <c r="B149" s="2">
        <f t="shared" ref="B149:C149" si="197">A149*1.02</f>
        <v>54809.362495733403</v>
      </c>
      <c r="C149" s="2">
        <f t="shared" si="197"/>
        <v>55905.549745648073</v>
      </c>
      <c r="D149" s="2">
        <f>C149*1.02-5000</f>
        <v>52023.660740561034</v>
      </c>
      <c r="E149" s="2">
        <f t="shared" ref="E149:L149" si="198">D149*1.02</f>
        <v>53064.133955372257</v>
      </c>
      <c r="F149" s="2">
        <f t="shared" si="198"/>
        <v>54125.416634479705</v>
      </c>
      <c r="G149" s="2">
        <f t="shared" si="198"/>
        <v>55207.924967169303</v>
      </c>
      <c r="H149" s="2">
        <f t="shared" si="198"/>
        <v>56312.083466512689</v>
      </c>
      <c r="I149" s="2">
        <f t="shared" si="198"/>
        <v>57438.325135842941</v>
      </c>
      <c r="J149" s="2">
        <f t="shared" si="198"/>
        <v>58587.091638559803</v>
      </c>
      <c r="K149" s="2">
        <f t="shared" si="198"/>
        <v>59758.833471331003</v>
      </c>
      <c r="L149" s="2">
        <f t="shared" si="198"/>
        <v>60954.010140757622</v>
      </c>
      <c r="M149" s="2">
        <f t="shared" si="194"/>
        <v>60954.010140757622</v>
      </c>
    </row>
    <row r="150" spans="1:14" x14ac:dyDescent="0.25">
      <c r="A150" s="2">
        <f t="shared" si="192"/>
        <v>52681.048150455019</v>
      </c>
      <c r="B150" s="2">
        <f t="shared" ref="B150:D150" si="199">A150*1.02</f>
        <v>53734.669113464122</v>
      </c>
      <c r="C150" s="2">
        <f t="shared" si="199"/>
        <v>54809.362495733403</v>
      </c>
      <c r="D150" s="2">
        <f t="shared" si="199"/>
        <v>55905.549745648073</v>
      </c>
      <c r="E150" s="2">
        <f>D150*1.02-5000</f>
        <v>52023.660740561034</v>
      </c>
      <c r="F150" s="2">
        <f t="shared" ref="F150:L150" si="200">E150*1.02</f>
        <v>53064.133955372257</v>
      </c>
      <c r="G150" s="2">
        <f t="shared" si="200"/>
        <v>54125.416634479705</v>
      </c>
      <c r="H150" s="2">
        <f t="shared" si="200"/>
        <v>55207.924967169303</v>
      </c>
      <c r="I150" s="2">
        <f t="shared" si="200"/>
        <v>56312.083466512689</v>
      </c>
      <c r="J150" s="2">
        <f t="shared" si="200"/>
        <v>57438.325135842941</v>
      </c>
      <c r="K150" s="2">
        <f t="shared" si="200"/>
        <v>58587.091638559803</v>
      </c>
      <c r="L150" s="2">
        <f t="shared" si="200"/>
        <v>59758.833471331003</v>
      </c>
      <c r="M150" s="2">
        <f t="shared" si="194"/>
        <v>59758.833471331003</v>
      </c>
    </row>
    <row r="151" spans="1:14" x14ac:dyDescent="0.25">
      <c r="A151" s="2">
        <f t="shared" si="192"/>
        <v>51648.086422014727</v>
      </c>
      <c r="B151" s="2">
        <f t="shared" ref="B151:E151" si="201">A151*1.02</f>
        <v>52681.048150455019</v>
      </c>
      <c r="C151" s="2">
        <f t="shared" si="201"/>
        <v>53734.669113464122</v>
      </c>
      <c r="D151" s="2">
        <f t="shared" si="201"/>
        <v>54809.362495733403</v>
      </c>
      <c r="E151" s="2">
        <f t="shared" si="201"/>
        <v>55905.549745648073</v>
      </c>
      <c r="F151" s="2">
        <f>E151*1.02-5000</f>
        <v>52023.660740561034</v>
      </c>
      <c r="G151" s="2">
        <f t="shared" ref="G151:L151" si="202">F151*1.02</f>
        <v>53064.133955372257</v>
      </c>
      <c r="H151" s="2">
        <f t="shared" si="202"/>
        <v>54125.416634479705</v>
      </c>
      <c r="I151" s="2">
        <f t="shared" si="202"/>
        <v>55207.924967169303</v>
      </c>
      <c r="J151" s="2">
        <f t="shared" si="202"/>
        <v>56312.083466512689</v>
      </c>
      <c r="K151" s="2">
        <f t="shared" si="202"/>
        <v>57438.325135842941</v>
      </c>
      <c r="L151" s="2">
        <f t="shared" si="202"/>
        <v>58587.091638559803</v>
      </c>
      <c r="M151" s="2">
        <f t="shared" si="194"/>
        <v>58587.091638559803</v>
      </c>
    </row>
    <row r="152" spans="1:14" x14ac:dyDescent="0.25">
      <c r="A152" s="2">
        <f t="shared" si="192"/>
        <v>50635.378845112478</v>
      </c>
      <c r="B152" s="2">
        <f t="shared" ref="B152:F152" si="203">A152*1.02</f>
        <v>51648.086422014727</v>
      </c>
      <c r="C152" s="2">
        <f t="shared" si="203"/>
        <v>52681.048150455019</v>
      </c>
      <c r="D152" s="2">
        <f t="shared" si="203"/>
        <v>53734.669113464122</v>
      </c>
      <c r="E152" s="2">
        <f t="shared" si="203"/>
        <v>54809.362495733403</v>
      </c>
      <c r="F152" s="2">
        <f t="shared" si="203"/>
        <v>55905.549745648073</v>
      </c>
      <c r="G152" s="2">
        <f>F152*1.02-5000</f>
        <v>52023.660740561034</v>
      </c>
      <c r="H152" s="2">
        <f t="shared" ref="H152:L152" si="204">G152*1.02</f>
        <v>53064.133955372257</v>
      </c>
      <c r="I152" s="2">
        <f t="shared" si="204"/>
        <v>54125.416634479705</v>
      </c>
      <c r="J152" s="2">
        <f t="shared" si="204"/>
        <v>55207.924967169303</v>
      </c>
      <c r="K152" s="2">
        <f t="shared" si="204"/>
        <v>56312.083466512689</v>
      </c>
      <c r="L152" s="2">
        <f t="shared" si="204"/>
        <v>57438.325135842941</v>
      </c>
      <c r="M152" s="2">
        <f t="shared" si="194"/>
        <v>57438.325135842941</v>
      </c>
    </row>
    <row r="153" spans="1:14" x14ac:dyDescent="0.25">
      <c r="A153" s="2">
        <f t="shared" si="192"/>
        <v>49642.528279522034</v>
      </c>
      <c r="B153" s="2">
        <f t="shared" ref="B153:G153" si="205">A153*1.02</f>
        <v>50635.378845112478</v>
      </c>
      <c r="C153" s="2">
        <f t="shared" si="205"/>
        <v>51648.086422014727</v>
      </c>
      <c r="D153" s="2">
        <f t="shared" si="205"/>
        <v>52681.048150455019</v>
      </c>
      <c r="E153" s="2">
        <f t="shared" si="205"/>
        <v>53734.669113464122</v>
      </c>
      <c r="F153" s="2">
        <f t="shared" si="205"/>
        <v>54809.362495733403</v>
      </c>
      <c r="G153" s="2">
        <f t="shared" si="205"/>
        <v>55905.549745648073</v>
      </c>
      <c r="H153" s="2">
        <f>G153*1.02-5000</f>
        <v>52023.660740561034</v>
      </c>
      <c r="I153" s="2">
        <f t="shared" ref="I153:L153" si="206">H153*1.02</f>
        <v>53064.133955372257</v>
      </c>
      <c r="J153" s="2">
        <f t="shared" si="206"/>
        <v>54125.416634479705</v>
      </c>
      <c r="K153" s="2">
        <f t="shared" si="206"/>
        <v>55207.924967169303</v>
      </c>
      <c r="L153" s="2">
        <f t="shared" si="206"/>
        <v>56312.083466512689</v>
      </c>
      <c r="M153" s="2">
        <f t="shared" si="194"/>
        <v>56312.083466512689</v>
      </c>
    </row>
    <row r="154" spans="1:14" x14ac:dyDescent="0.25">
      <c r="A154" s="2">
        <f t="shared" si="192"/>
        <v>48669.145372080427</v>
      </c>
      <c r="B154" s="2">
        <f t="shared" ref="B154:H154" si="207">A154*1.02</f>
        <v>49642.528279522034</v>
      </c>
      <c r="C154" s="2">
        <f t="shared" si="207"/>
        <v>50635.378845112478</v>
      </c>
      <c r="D154" s="2">
        <f t="shared" si="207"/>
        <v>51648.086422014727</v>
      </c>
      <c r="E154" s="2">
        <f t="shared" si="207"/>
        <v>52681.048150455019</v>
      </c>
      <c r="F154" s="2">
        <f t="shared" si="207"/>
        <v>53734.669113464122</v>
      </c>
      <c r="G154" s="2">
        <f t="shared" si="207"/>
        <v>54809.362495733403</v>
      </c>
      <c r="H154" s="2">
        <f t="shared" si="207"/>
        <v>55905.549745648073</v>
      </c>
      <c r="I154" s="2">
        <f>H154*1.02-5000</f>
        <v>52023.660740561034</v>
      </c>
      <c r="J154" s="2">
        <f t="shared" ref="J154:L154" si="208">I154*1.02</f>
        <v>53064.133955372257</v>
      </c>
      <c r="K154" s="2">
        <f t="shared" si="208"/>
        <v>54125.416634479705</v>
      </c>
      <c r="L154" s="2">
        <f t="shared" si="208"/>
        <v>55207.924967169303</v>
      </c>
      <c r="M154" s="2">
        <f t="shared" si="194"/>
        <v>55207.924967169303</v>
      </c>
    </row>
    <row r="155" spans="1:14" x14ac:dyDescent="0.25">
      <c r="A155" s="2">
        <f t="shared" si="192"/>
        <v>47714.848404000419</v>
      </c>
      <c r="B155" s="2">
        <f t="shared" ref="B155:I155" si="209">A155*1.02</f>
        <v>48669.145372080427</v>
      </c>
      <c r="C155" s="2">
        <f t="shared" si="209"/>
        <v>49642.528279522034</v>
      </c>
      <c r="D155" s="2">
        <f t="shared" si="209"/>
        <v>50635.378845112478</v>
      </c>
      <c r="E155" s="2">
        <f t="shared" si="209"/>
        <v>51648.086422014727</v>
      </c>
      <c r="F155" s="2">
        <f t="shared" si="209"/>
        <v>52681.048150455019</v>
      </c>
      <c r="G155" s="2">
        <f t="shared" si="209"/>
        <v>53734.669113464122</v>
      </c>
      <c r="H155" s="2">
        <f t="shared" si="209"/>
        <v>54809.362495733403</v>
      </c>
      <c r="I155" s="2">
        <f t="shared" si="209"/>
        <v>55905.549745648073</v>
      </c>
      <c r="J155" s="2">
        <f>I155*1.02-5000</f>
        <v>52023.660740561034</v>
      </c>
      <c r="K155" s="2">
        <f t="shared" ref="K155:L155" si="210">J155*1.02</f>
        <v>53064.133955372257</v>
      </c>
      <c r="L155" s="2">
        <f t="shared" si="210"/>
        <v>54125.416634479705</v>
      </c>
      <c r="M155" s="2">
        <f t="shared" si="194"/>
        <v>54125.416634479705</v>
      </c>
    </row>
    <row r="156" spans="1:14" x14ac:dyDescent="0.25">
      <c r="A156" s="2">
        <f t="shared" si="192"/>
        <v>46779.263141176882</v>
      </c>
      <c r="B156" s="2">
        <f t="shared" ref="B156:J156" si="211">A156*1.02</f>
        <v>47714.848404000419</v>
      </c>
      <c r="C156" s="2">
        <f t="shared" si="211"/>
        <v>48669.145372080427</v>
      </c>
      <c r="D156" s="2">
        <f t="shared" si="211"/>
        <v>49642.528279522034</v>
      </c>
      <c r="E156" s="2">
        <f t="shared" si="211"/>
        <v>50635.378845112478</v>
      </c>
      <c r="F156" s="2">
        <f t="shared" si="211"/>
        <v>51648.086422014727</v>
      </c>
      <c r="G156" s="2">
        <f t="shared" si="211"/>
        <v>52681.048150455019</v>
      </c>
      <c r="H156" s="2">
        <f t="shared" si="211"/>
        <v>53734.669113464122</v>
      </c>
      <c r="I156" s="2">
        <f t="shared" si="211"/>
        <v>54809.362495733403</v>
      </c>
      <c r="J156" s="2">
        <f t="shared" si="211"/>
        <v>55905.549745648073</v>
      </c>
      <c r="K156" s="2">
        <f>J156*1.02-5000</f>
        <v>52023.660740561034</v>
      </c>
      <c r="L156" s="2">
        <f t="shared" ref="L156" si="212">K156*1.02</f>
        <v>53064.133955372257</v>
      </c>
      <c r="M156" s="2">
        <f t="shared" si="194"/>
        <v>53064.133955372257</v>
      </c>
    </row>
    <row r="157" spans="1:14" x14ac:dyDescent="0.25">
      <c r="A157" s="2">
        <f t="shared" si="192"/>
        <v>45862.022687428318</v>
      </c>
      <c r="B157" s="2">
        <f t="shared" ref="B157:K157" si="213">A157*1.02</f>
        <v>46779.263141176882</v>
      </c>
      <c r="C157" s="2">
        <f t="shared" si="213"/>
        <v>47714.848404000419</v>
      </c>
      <c r="D157" s="2">
        <f t="shared" si="213"/>
        <v>48669.145372080427</v>
      </c>
      <c r="E157" s="2">
        <f t="shared" si="213"/>
        <v>49642.528279522034</v>
      </c>
      <c r="F157" s="2">
        <f t="shared" si="213"/>
        <v>50635.378845112478</v>
      </c>
      <c r="G157" s="2">
        <f t="shared" si="213"/>
        <v>51648.086422014727</v>
      </c>
      <c r="H157" s="2">
        <f t="shared" si="213"/>
        <v>52681.048150455019</v>
      </c>
      <c r="I157" s="2">
        <f t="shared" si="213"/>
        <v>53734.669113464122</v>
      </c>
      <c r="J157" s="2">
        <f t="shared" si="213"/>
        <v>54809.362495733403</v>
      </c>
      <c r="K157" s="2">
        <f t="shared" si="213"/>
        <v>55905.549745648073</v>
      </c>
      <c r="L157" s="2">
        <f>K157*1.02-5000</f>
        <v>52023.660740561034</v>
      </c>
      <c r="M157" s="2">
        <f t="shared" si="194"/>
        <v>52023.660740561034</v>
      </c>
    </row>
    <row r="158" spans="1:1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>
        <f>SUM(M146:M157)</f>
        <v>697746.00583805656</v>
      </c>
    </row>
    <row r="161" spans="1:14" x14ac:dyDescent="0.25">
      <c r="A161" s="1">
        <v>47484</v>
      </c>
      <c r="B161" t="s">
        <v>0</v>
      </c>
      <c r="C161" t="s">
        <v>1</v>
      </c>
      <c r="D161" t="s">
        <v>2</v>
      </c>
      <c r="E161" t="s">
        <v>3</v>
      </c>
      <c r="F161" t="s">
        <v>4</v>
      </c>
      <c r="G161" t="s">
        <v>5</v>
      </c>
      <c r="H161" t="s">
        <v>6</v>
      </c>
      <c r="I161" t="s">
        <v>7</v>
      </c>
      <c r="J161" t="s">
        <v>8</v>
      </c>
      <c r="K161" t="s">
        <v>9</v>
      </c>
      <c r="L161" t="s">
        <v>10</v>
      </c>
    </row>
    <row r="162" spans="1:14" x14ac:dyDescent="0.25">
      <c r="A162" s="2">
        <f>M146-5000</f>
        <v>59684.883193453112</v>
      </c>
      <c r="B162" s="2">
        <f>A162*1.02</f>
        <v>60878.580857322173</v>
      </c>
      <c r="C162" s="2">
        <f t="shared" ref="C162:L162" si="214">B162*1.02</f>
        <v>62096.152474468618</v>
      </c>
      <c r="D162" s="2">
        <f t="shared" si="214"/>
        <v>63338.075523957988</v>
      </c>
      <c r="E162" s="2">
        <f t="shared" si="214"/>
        <v>64604.837034437151</v>
      </c>
      <c r="F162" s="2">
        <f t="shared" si="214"/>
        <v>65896.933775125901</v>
      </c>
      <c r="G162" s="2">
        <f t="shared" si="214"/>
        <v>67214.87245062842</v>
      </c>
      <c r="H162" s="2">
        <f t="shared" si="214"/>
        <v>68559.169899640983</v>
      </c>
      <c r="I162" s="2">
        <f t="shared" si="214"/>
        <v>69930.353297633803</v>
      </c>
      <c r="J162" s="2">
        <f t="shared" si="214"/>
        <v>71328.960363586477</v>
      </c>
      <c r="K162" s="2">
        <f t="shared" si="214"/>
        <v>72755.539570858207</v>
      </c>
      <c r="L162" s="2">
        <f t="shared" si="214"/>
        <v>74210.650362275366</v>
      </c>
      <c r="M162" s="2">
        <f>L162</f>
        <v>74210.650362275366</v>
      </c>
      <c r="N162">
        <f>M162/A162-1</f>
        <v>0.24337430839465224</v>
      </c>
    </row>
    <row r="163" spans="1:14" x14ac:dyDescent="0.25">
      <c r="A163" s="2">
        <f t="shared" ref="A163:A173" si="215">M147</f>
        <v>63416.552150444229</v>
      </c>
      <c r="B163" s="2">
        <f>A163*1.02-5000</f>
        <v>59684.883193453112</v>
      </c>
      <c r="C163" s="2">
        <f t="shared" ref="C163:L163" si="216">B163*1.02</f>
        <v>60878.580857322173</v>
      </c>
      <c r="D163" s="2">
        <f t="shared" si="216"/>
        <v>62096.152474468618</v>
      </c>
      <c r="E163" s="2">
        <f t="shared" si="216"/>
        <v>63338.075523957988</v>
      </c>
      <c r="F163" s="2">
        <f t="shared" si="216"/>
        <v>64604.837034437151</v>
      </c>
      <c r="G163" s="2">
        <f t="shared" si="216"/>
        <v>65896.933775125901</v>
      </c>
      <c r="H163" s="2">
        <f t="shared" si="216"/>
        <v>67214.87245062842</v>
      </c>
      <c r="I163" s="2">
        <f t="shared" si="216"/>
        <v>68559.169899640983</v>
      </c>
      <c r="J163" s="2">
        <f t="shared" si="216"/>
        <v>69930.353297633803</v>
      </c>
      <c r="K163" s="2">
        <f t="shared" si="216"/>
        <v>71328.960363586477</v>
      </c>
      <c r="L163" s="2">
        <f t="shared" si="216"/>
        <v>72755.539570858207</v>
      </c>
      <c r="M163" s="2">
        <f t="shared" ref="M163:M173" si="217">L163</f>
        <v>72755.539570858207</v>
      </c>
    </row>
    <row r="164" spans="1:14" x14ac:dyDescent="0.25">
      <c r="A164" s="2">
        <f t="shared" si="215"/>
        <v>62173.090343572774</v>
      </c>
      <c r="B164" s="2">
        <f t="shared" ref="B164" si="218">A164*1.02</f>
        <v>63416.552150444229</v>
      </c>
      <c r="C164" s="2">
        <f>B164*1.02-5000</f>
        <v>59684.883193453112</v>
      </c>
      <c r="D164" s="2">
        <f t="shared" ref="D164:L164" si="219">C164*1.02</f>
        <v>60878.580857322173</v>
      </c>
      <c r="E164" s="2">
        <f t="shared" si="219"/>
        <v>62096.152474468618</v>
      </c>
      <c r="F164" s="2">
        <f t="shared" si="219"/>
        <v>63338.075523957988</v>
      </c>
      <c r="G164" s="2">
        <f t="shared" si="219"/>
        <v>64604.837034437151</v>
      </c>
      <c r="H164" s="2">
        <f t="shared" si="219"/>
        <v>65896.933775125901</v>
      </c>
      <c r="I164" s="2">
        <f t="shared" si="219"/>
        <v>67214.87245062842</v>
      </c>
      <c r="J164" s="2">
        <f t="shared" si="219"/>
        <v>68559.169899640983</v>
      </c>
      <c r="K164" s="2">
        <f t="shared" si="219"/>
        <v>69930.353297633803</v>
      </c>
      <c r="L164" s="2">
        <f t="shared" si="219"/>
        <v>71328.960363586477</v>
      </c>
      <c r="M164" s="2">
        <f t="shared" si="217"/>
        <v>71328.960363586477</v>
      </c>
    </row>
    <row r="165" spans="1:14" x14ac:dyDescent="0.25">
      <c r="A165" s="2">
        <f t="shared" si="215"/>
        <v>60954.010140757622</v>
      </c>
      <c r="B165" s="2">
        <f t="shared" ref="B165:C165" si="220">A165*1.02</f>
        <v>62173.090343572774</v>
      </c>
      <c r="C165" s="2">
        <f t="shared" si="220"/>
        <v>63416.552150444229</v>
      </c>
      <c r="D165" s="2">
        <f>C165*1.02-5000</f>
        <v>59684.883193453112</v>
      </c>
      <c r="E165" s="2">
        <f t="shared" ref="E165:L165" si="221">D165*1.02</f>
        <v>60878.580857322173</v>
      </c>
      <c r="F165" s="2">
        <f t="shared" si="221"/>
        <v>62096.152474468618</v>
      </c>
      <c r="G165" s="2">
        <f t="shared" si="221"/>
        <v>63338.075523957988</v>
      </c>
      <c r="H165" s="2">
        <f t="shared" si="221"/>
        <v>64604.837034437151</v>
      </c>
      <c r="I165" s="2">
        <f t="shared" si="221"/>
        <v>65896.933775125901</v>
      </c>
      <c r="J165" s="2">
        <f t="shared" si="221"/>
        <v>67214.87245062842</v>
      </c>
      <c r="K165" s="2">
        <f t="shared" si="221"/>
        <v>68559.169899640983</v>
      </c>
      <c r="L165" s="2">
        <f t="shared" si="221"/>
        <v>69930.353297633803</v>
      </c>
      <c r="M165" s="2">
        <f t="shared" si="217"/>
        <v>69930.353297633803</v>
      </c>
    </row>
    <row r="166" spans="1:14" x14ac:dyDescent="0.25">
      <c r="A166" s="2">
        <f t="shared" si="215"/>
        <v>59758.833471331003</v>
      </c>
      <c r="B166" s="2">
        <f t="shared" ref="B166:D166" si="222">A166*1.02</f>
        <v>60954.010140757622</v>
      </c>
      <c r="C166" s="2">
        <f t="shared" si="222"/>
        <v>62173.090343572774</v>
      </c>
      <c r="D166" s="2">
        <f t="shared" si="222"/>
        <v>63416.552150444229</v>
      </c>
      <c r="E166" s="2">
        <f>D166*1.02-5000</f>
        <v>59684.883193453112</v>
      </c>
      <c r="F166" s="2">
        <f t="shared" ref="F166:L166" si="223">E166*1.02</f>
        <v>60878.580857322173</v>
      </c>
      <c r="G166" s="2">
        <f t="shared" si="223"/>
        <v>62096.152474468618</v>
      </c>
      <c r="H166" s="2">
        <f t="shared" si="223"/>
        <v>63338.075523957988</v>
      </c>
      <c r="I166" s="2">
        <f t="shared" si="223"/>
        <v>64604.837034437151</v>
      </c>
      <c r="J166" s="2">
        <f t="shared" si="223"/>
        <v>65896.933775125901</v>
      </c>
      <c r="K166" s="2">
        <f t="shared" si="223"/>
        <v>67214.87245062842</v>
      </c>
      <c r="L166" s="2">
        <f t="shared" si="223"/>
        <v>68559.169899640983</v>
      </c>
      <c r="M166" s="2">
        <f t="shared" si="217"/>
        <v>68559.169899640983</v>
      </c>
    </row>
    <row r="167" spans="1:14" x14ac:dyDescent="0.25">
      <c r="A167" s="2">
        <f t="shared" si="215"/>
        <v>58587.091638559803</v>
      </c>
      <c r="B167" s="2">
        <f t="shared" ref="B167:E167" si="224">A167*1.02</f>
        <v>59758.833471331003</v>
      </c>
      <c r="C167" s="2">
        <f t="shared" si="224"/>
        <v>60954.010140757622</v>
      </c>
      <c r="D167" s="2">
        <f t="shared" si="224"/>
        <v>62173.090343572774</v>
      </c>
      <c r="E167" s="2">
        <f t="shared" si="224"/>
        <v>63416.552150444229</v>
      </c>
      <c r="F167" s="2">
        <f>E167*1.02-5000</f>
        <v>59684.883193453112</v>
      </c>
      <c r="G167" s="2">
        <f t="shared" ref="G167:L167" si="225">F167*1.02</f>
        <v>60878.580857322173</v>
      </c>
      <c r="H167" s="2">
        <f t="shared" si="225"/>
        <v>62096.152474468618</v>
      </c>
      <c r="I167" s="2">
        <f t="shared" si="225"/>
        <v>63338.075523957988</v>
      </c>
      <c r="J167" s="2">
        <f t="shared" si="225"/>
        <v>64604.837034437151</v>
      </c>
      <c r="K167" s="2">
        <f t="shared" si="225"/>
        <v>65896.933775125901</v>
      </c>
      <c r="L167" s="2">
        <f t="shared" si="225"/>
        <v>67214.87245062842</v>
      </c>
      <c r="M167" s="2">
        <f t="shared" si="217"/>
        <v>67214.87245062842</v>
      </c>
    </row>
    <row r="168" spans="1:14" x14ac:dyDescent="0.25">
      <c r="A168" s="2">
        <f t="shared" si="215"/>
        <v>57438.325135842941</v>
      </c>
      <c r="B168" s="2">
        <f t="shared" ref="B168:F168" si="226">A168*1.02</f>
        <v>58587.091638559803</v>
      </c>
      <c r="C168" s="2">
        <f t="shared" si="226"/>
        <v>59758.833471331003</v>
      </c>
      <c r="D168" s="2">
        <f t="shared" si="226"/>
        <v>60954.010140757622</v>
      </c>
      <c r="E168" s="2">
        <f t="shared" si="226"/>
        <v>62173.090343572774</v>
      </c>
      <c r="F168" s="2">
        <f t="shared" si="226"/>
        <v>63416.552150444229</v>
      </c>
      <c r="G168" s="2">
        <f>F168*1.02-5000</f>
        <v>59684.883193453112</v>
      </c>
      <c r="H168" s="2">
        <f t="shared" ref="H168:L168" si="227">G168*1.02</f>
        <v>60878.580857322173</v>
      </c>
      <c r="I168" s="2">
        <f t="shared" si="227"/>
        <v>62096.152474468618</v>
      </c>
      <c r="J168" s="2">
        <f t="shared" si="227"/>
        <v>63338.075523957988</v>
      </c>
      <c r="K168" s="2">
        <f t="shared" si="227"/>
        <v>64604.837034437151</v>
      </c>
      <c r="L168" s="2">
        <f t="shared" si="227"/>
        <v>65896.933775125901</v>
      </c>
      <c r="M168" s="2">
        <f t="shared" si="217"/>
        <v>65896.933775125901</v>
      </c>
    </row>
    <row r="169" spans="1:14" x14ac:dyDescent="0.25">
      <c r="A169" s="2">
        <f t="shared" si="215"/>
        <v>56312.083466512689</v>
      </c>
      <c r="B169" s="2">
        <f t="shared" ref="B169:G169" si="228">A169*1.02</f>
        <v>57438.325135842941</v>
      </c>
      <c r="C169" s="2">
        <f t="shared" si="228"/>
        <v>58587.091638559803</v>
      </c>
      <c r="D169" s="2">
        <f t="shared" si="228"/>
        <v>59758.833471331003</v>
      </c>
      <c r="E169" s="2">
        <f t="shared" si="228"/>
        <v>60954.010140757622</v>
      </c>
      <c r="F169" s="2">
        <f t="shared" si="228"/>
        <v>62173.090343572774</v>
      </c>
      <c r="G169" s="2">
        <f t="shared" si="228"/>
        <v>63416.552150444229</v>
      </c>
      <c r="H169" s="2">
        <f>G169*1.02-5000</f>
        <v>59684.883193453112</v>
      </c>
      <c r="I169" s="2">
        <f t="shared" ref="I169:L169" si="229">H169*1.02</f>
        <v>60878.580857322173</v>
      </c>
      <c r="J169" s="2">
        <f t="shared" si="229"/>
        <v>62096.152474468618</v>
      </c>
      <c r="K169" s="2">
        <f t="shared" si="229"/>
        <v>63338.075523957988</v>
      </c>
      <c r="L169" s="2">
        <f t="shared" si="229"/>
        <v>64604.837034437151</v>
      </c>
      <c r="M169" s="2">
        <f t="shared" si="217"/>
        <v>64604.837034437151</v>
      </c>
    </row>
    <row r="170" spans="1:14" x14ac:dyDescent="0.25">
      <c r="A170" s="2">
        <f t="shared" si="215"/>
        <v>55207.924967169303</v>
      </c>
      <c r="B170" s="2">
        <f t="shared" ref="B170:H170" si="230">A170*1.02</f>
        <v>56312.083466512689</v>
      </c>
      <c r="C170" s="2">
        <f t="shared" si="230"/>
        <v>57438.325135842941</v>
      </c>
      <c r="D170" s="2">
        <f t="shared" si="230"/>
        <v>58587.091638559803</v>
      </c>
      <c r="E170" s="2">
        <f t="shared" si="230"/>
        <v>59758.833471331003</v>
      </c>
      <c r="F170" s="2">
        <f t="shared" si="230"/>
        <v>60954.010140757622</v>
      </c>
      <c r="G170" s="2">
        <f t="shared" si="230"/>
        <v>62173.090343572774</v>
      </c>
      <c r="H170" s="2">
        <f t="shared" si="230"/>
        <v>63416.552150444229</v>
      </c>
      <c r="I170" s="2">
        <f>H170*1.02-5000</f>
        <v>59684.883193453112</v>
      </c>
      <c r="J170" s="2">
        <f t="shared" ref="J170:L170" si="231">I170*1.02</f>
        <v>60878.580857322173</v>
      </c>
      <c r="K170" s="2">
        <f t="shared" si="231"/>
        <v>62096.152474468618</v>
      </c>
      <c r="L170" s="2">
        <f t="shared" si="231"/>
        <v>63338.075523957988</v>
      </c>
      <c r="M170" s="2">
        <f t="shared" si="217"/>
        <v>63338.075523957988</v>
      </c>
    </row>
    <row r="171" spans="1:14" x14ac:dyDescent="0.25">
      <c r="A171" s="2">
        <f t="shared" si="215"/>
        <v>54125.416634479705</v>
      </c>
      <c r="B171" s="2">
        <f t="shared" ref="B171:I171" si="232">A171*1.02</f>
        <v>55207.924967169303</v>
      </c>
      <c r="C171" s="2">
        <f t="shared" si="232"/>
        <v>56312.083466512689</v>
      </c>
      <c r="D171" s="2">
        <f t="shared" si="232"/>
        <v>57438.325135842941</v>
      </c>
      <c r="E171" s="2">
        <f t="shared" si="232"/>
        <v>58587.091638559803</v>
      </c>
      <c r="F171" s="2">
        <f t="shared" si="232"/>
        <v>59758.833471331003</v>
      </c>
      <c r="G171" s="2">
        <f t="shared" si="232"/>
        <v>60954.010140757622</v>
      </c>
      <c r="H171" s="2">
        <f t="shared" si="232"/>
        <v>62173.090343572774</v>
      </c>
      <c r="I171" s="2">
        <f t="shared" si="232"/>
        <v>63416.552150444229</v>
      </c>
      <c r="J171" s="2">
        <f>I171*1.02-5000</f>
        <v>59684.883193453112</v>
      </c>
      <c r="K171" s="2">
        <f t="shared" ref="K171:L171" si="233">J171*1.02</f>
        <v>60878.580857322173</v>
      </c>
      <c r="L171" s="2">
        <f t="shared" si="233"/>
        <v>62096.152474468618</v>
      </c>
      <c r="M171" s="2">
        <f t="shared" si="217"/>
        <v>62096.152474468618</v>
      </c>
    </row>
    <row r="172" spans="1:14" x14ac:dyDescent="0.25">
      <c r="A172" s="2">
        <f t="shared" si="215"/>
        <v>53064.133955372257</v>
      </c>
      <c r="B172" s="2">
        <f t="shared" ref="B172:J172" si="234">A172*1.02</f>
        <v>54125.416634479705</v>
      </c>
      <c r="C172" s="2">
        <f t="shared" si="234"/>
        <v>55207.924967169303</v>
      </c>
      <c r="D172" s="2">
        <f t="shared" si="234"/>
        <v>56312.083466512689</v>
      </c>
      <c r="E172" s="2">
        <f t="shared" si="234"/>
        <v>57438.325135842941</v>
      </c>
      <c r="F172" s="2">
        <f t="shared" si="234"/>
        <v>58587.091638559803</v>
      </c>
      <c r="G172" s="2">
        <f t="shared" si="234"/>
        <v>59758.833471331003</v>
      </c>
      <c r="H172" s="2">
        <f t="shared" si="234"/>
        <v>60954.010140757622</v>
      </c>
      <c r="I172" s="2">
        <f t="shared" si="234"/>
        <v>62173.090343572774</v>
      </c>
      <c r="J172" s="2">
        <f t="shared" si="234"/>
        <v>63416.552150444229</v>
      </c>
      <c r="K172" s="2">
        <f>J172*1.02-5000</f>
        <v>59684.883193453112</v>
      </c>
      <c r="L172" s="2">
        <f t="shared" ref="L172" si="235">K172*1.02</f>
        <v>60878.580857322173</v>
      </c>
      <c r="M172" s="2">
        <f t="shared" si="217"/>
        <v>60878.580857322173</v>
      </c>
    </row>
    <row r="173" spans="1:14" x14ac:dyDescent="0.25">
      <c r="A173" s="2">
        <f t="shared" si="215"/>
        <v>52023.660740561034</v>
      </c>
      <c r="B173" s="2">
        <f t="shared" ref="B173:K173" si="236">A173*1.02</f>
        <v>53064.133955372257</v>
      </c>
      <c r="C173" s="2">
        <f t="shared" si="236"/>
        <v>54125.416634479705</v>
      </c>
      <c r="D173" s="2">
        <f t="shared" si="236"/>
        <v>55207.924967169303</v>
      </c>
      <c r="E173" s="2">
        <f t="shared" si="236"/>
        <v>56312.083466512689</v>
      </c>
      <c r="F173" s="2">
        <f t="shared" si="236"/>
        <v>57438.325135842941</v>
      </c>
      <c r="G173" s="2">
        <f t="shared" si="236"/>
        <v>58587.091638559803</v>
      </c>
      <c r="H173" s="2">
        <f t="shared" si="236"/>
        <v>59758.833471331003</v>
      </c>
      <c r="I173" s="2">
        <f t="shared" si="236"/>
        <v>60954.010140757622</v>
      </c>
      <c r="J173" s="2">
        <f t="shared" si="236"/>
        <v>62173.090343572774</v>
      </c>
      <c r="K173" s="2">
        <f t="shared" si="236"/>
        <v>63416.552150444229</v>
      </c>
      <c r="L173" s="2">
        <f>K173*1.02-5000</f>
        <v>59684.883193453112</v>
      </c>
      <c r="M173" s="2">
        <f t="shared" si="217"/>
        <v>59684.883193453112</v>
      </c>
    </row>
    <row r="174" spans="1:1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>
        <f>SUM(M162:M173)</f>
        <v>800499.0088033881</v>
      </c>
    </row>
    <row r="177" spans="1:14" x14ac:dyDescent="0.25">
      <c r="A177" s="1">
        <v>47849</v>
      </c>
      <c r="B177" t="s">
        <v>0</v>
      </c>
      <c r="C177" t="s">
        <v>1</v>
      </c>
      <c r="D177" t="s">
        <v>2</v>
      </c>
      <c r="E177" t="s">
        <v>3</v>
      </c>
      <c r="F177" t="s">
        <v>4</v>
      </c>
      <c r="G177" t="s">
        <v>5</v>
      </c>
      <c r="H177" t="s">
        <v>6</v>
      </c>
      <c r="I177" t="s">
        <v>7</v>
      </c>
      <c r="J177" t="s">
        <v>8</v>
      </c>
      <c r="K177" t="s">
        <v>9</v>
      </c>
      <c r="L177" t="s">
        <v>10</v>
      </c>
    </row>
    <row r="178" spans="1:14" x14ac:dyDescent="0.25">
      <c r="A178" s="2">
        <f>M162-5000</f>
        <v>69210.650362275366</v>
      </c>
      <c r="B178" s="2">
        <f>A178*1.02</f>
        <v>70594.86336952087</v>
      </c>
      <c r="C178" s="2">
        <f t="shared" ref="C178:L178" si="237">B178*1.02</f>
        <v>72006.760636911291</v>
      </c>
      <c r="D178" s="2">
        <f t="shared" si="237"/>
        <v>73446.895849649518</v>
      </c>
      <c r="E178" s="2">
        <f t="shared" si="237"/>
        <v>74915.833766642507</v>
      </c>
      <c r="F178" s="2">
        <f t="shared" si="237"/>
        <v>76414.150441975362</v>
      </c>
      <c r="G178" s="2">
        <f t="shared" si="237"/>
        <v>77942.433450814875</v>
      </c>
      <c r="H178" s="2">
        <f t="shared" si="237"/>
        <v>79501.282119831172</v>
      </c>
      <c r="I178" s="2">
        <f t="shared" si="237"/>
        <v>81091.307762227792</v>
      </c>
      <c r="J178" s="2">
        <f t="shared" si="237"/>
        <v>82713.133917472354</v>
      </c>
      <c r="K178" s="2">
        <f t="shared" si="237"/>
        <v>84367.396595821803</v>
      </c>
      <c r="L178" s="2">
        <f t="shared" si="237"/>
        <v>86054.744527738236</v>
      </c>
      <c r="M178" s="2">
        <f>L178</f>
        <v>86054.744527738236</v>
      </c>
      <c r="N178">
        <f>M178/A178-1</f>
        <v>0.24337430839465246</v>
      </c>
    </row>
    <row r="179" spans="1:14" x14ac:dyDescent="0.25">
      <c r="A179" s="2">
        <f t="shared" ref="A179:A189" si="238">M163</f>
        <v>72755.539570858207</v>
      </c>
      <c r="B179" s="2">
        <f>A179*1.02-5000</f>
        <v>69210.650362275366</v>
      </c>
      <c r="C179" s="2">
        <f t="shared" ref="C179:L179" si="239">B179*1.02</f>
        <v>70594.86336952087</v>
      </c>
      <c r="D179" s="2">
        <f t="shared" si="239"/>
        <v>72006.760636911291</v>
      </c>
      <c r="E179" s="2">
        <f t="shared" si="239"/>
        <v>73446.895849649518</v>
      </c>
      <c r="F179" s="2">
        <f t="shared" si="239"/>
        <v>74915.833766642507</v>
      </c>
      <c r="G179" s="2">
        <f t="shared" si="239"/>
        <v>76414.150441975362</v>
      </c>
      <c r="H179" s="2">
        <f t="shared" si="239"/>
        <v>77942.433450814875</v>
      </c>
      <c r="I179" s="2">
        <f t="shared" si="239"/>
        <v>79501.282119831172</v>
      </c>
      <c r="J179" s="2">
        <f t="shared" si="239"/>
        <v>81091.307762227792</v>
      </c>
      <c r="K179" s="2">
        <f t="shared" si="239"/>
        <v>82713.133917472354</v>
      </c>
      <c r="L179" s="2">
        <f t="shared" si="239"/>
        <v>84367.396595821803</v>
      </c>
      <c r="M179" s="2">
        <f t="shared" ref="M179:M189" si="240">L179</f>
        <v>84367.396595821803</v>
      </c>
    </row>
    <row r="180" spans="1:14" x14ac:dyDescent="0.25">
      <c r="A180" s="2">
        <f t="shared" si="238"/>
        <v>71328.960363586477</v>
      </c>
      <c r="B180" s="2">
        <f t="shared" ref="B180" si="241">A180*1.02</f>
        <v>72755.539570858207</v>
      </c>
      <c r="C180" s="2">
        <f>B180*1.02-5000</f>
        <v>69210.650362275366</v>
      </c>
      <c r="D180" s="2">
        <f t="shared" ref="D180:L180" si="242">C180*1.02</f>
        <v>70594.86336952087</v>
      </c>
      <c r="E180" s="2">
        <f t="shared" si="242"/>
        <v>72006.760636911291</v>
      </c>
      <c r="F180" s="2">
        <f t="shared" si="242"/>
        <v>73446.895849649518</v>
      </c>
      <c r="G180" s="2">
        <f t="shared" si="242"/>
        <v>74915.833766642507</v>
      </c>
      <c r="H180" s="2">
        <f t="shared" si="242"/>
        <v>76414.150441975362</v>
      </c>
      <c r="I180" s="2">
        <f t="shared" si="242"/>
        <v>77942.433450814875</v>
      </c>
      <c r="J180" s="2">
        <f t="shared" si="242"/>
        <v>79501.282119831172</v>
      </c>
      <c r="K180" s="2">
        <f t="shared" si="242"/>
        <v>81091.307762227792</v>
      </c>
      <c r="L180" s="2">
        <f t="shared" si="242"/>
        <v>82713.133917472354</v>
      </c>
      <c r="M180" s="2">
        <f t="shared" si="240"/>
        <v>82713.133917472354</v>
      </c>
    </row>
    <row r="181" spans="1:14" x14ac:dyDescent="0.25">
      <c r="A181" s="2">
        <f t="shared" si="238"/>
        <v>69930.353297633803</v>
      </c>
      <c r="B181" s="2">
        <f t="shared" ref="B181:C181" si="243">A181*1.02</f>
        <v>71328.960363586477</v>
      </c>
      <c r="C181" s="2">
        <f t="shared" si="243"/>
        <v>72755.539570858207</v>
      </c>
      <c r="D181" s="2">
        <f>C181*1.02-5000</f>
        <v>69210.650362275366</v>
      </c>
      <c r="E181" s="2">
        <f t="shared" ref="E181:L181" si="244">D181*1.02</f>
        <v>70594.86336952087</v>
      </c>
      <c r="F181" s="2">
        <f t="shared" si="244"/>
        <v>72006.760636911291</v>
      </c>
      <c r="G181" s="2">
        <f t="shared" si="244"/>
        <v>73446.895849649518</v>
      </c>
      <c r="H181" s="2">
        <f t="shared" si="244"/>
        <v>74915.833766642507</v>
      </c>
      <c r="I181" s="2">
        <f t="shared" si="244"/>
        <v>76414.150441975362</v>
      </c>
      <c r="J181" s="2">
        <f t="shared" si="244"/>
        <v>77942.433450814875</v>
      </c>
      <c r="K181" s="2">
        <f t="shared" si="244"/>
        <v>79501.282119831172</v>
      </c>
      <c r="L181" s="2">
        <f t="shared" si="244"/>
        <v>81091.307762227792</v>
      </c>
      <c r="M181" s="2">
        <f t="shared" si="240"/>
        <v>81091.307762227792</v>
      </c>
    </row>
    <row r="182" spans="1:14" x14ac:dyDescent="0.25">
      <c r="A182" s="2">
        <f t="shared" si="238"/>
        <v>68559.169899640983</v>
      </c>
      <c r="B182" s="2">
        <f t="shared" ref="B182:D182" si="245">A182*1.02</f>
        <v>69930.353297633803</v>
      </c>
      <c r="C182" s="2">
        <f t="shared" si="245"/>
        <v>71328.960363586477</v>
      </c>
      <c r="D182" s="2">
        <f t="shared" si="245"/>
        <v>72755.539570858207</v>
      </c>
      <c r="E182" s="2">
        <f>D182*1.02-5000</f>
        <v>69210.650362275366</v>
      </c>
      <c r="F182" s="2">
        <f t="shared" ref="F182:L182" si="246">E182*1.02</f>
        <v>70594.86336952087</v>
      </c>
      <c r="G182" s="2">
        <f t="shared" si="246"/>
        <v>72006.760636911291</v>
      </c>
      <c r="H182" s="2">
        <f t="shared" si="246"/>
        <v>73446.895849649518</v>
      </c>
      <c r="I182" s="2">
        <f t="shared" si="246"/>
        <v>74915.833766642507</v>
      </c>
      <c r="J182" s="2">
        <f t="shared" si="246"/>
        <v>76414.150441975362</v>
      </c>
      <c r="K182" s="2">
        <f t="shared" si="246"/>
        <v>77942.433450814875</v>
      </c>
      <c r="L182" s="2">
        <f t="shared" si="246"/>
        <v>79501.282119831172</v>
      </c>
      <c r="M182" s="2">
        <f t="shared" si="240"/>
        <v>79501.282119831172</v>
      </c>
    </row>
    <row r="183" spans="1:14" x14ac:dyDescent="0.25">
      <c r="A183" s="2">
        <f t="shared" si="238"/>
        <v>67214.87245062842</v>
      </c>
      <c r="B183" s="2">
        <f t="shared" ref="B183:E183" si="247">A183*1.02</f>
        <v>68559.169899640983</v>
      </c>
      <c r="C183" s="2">
        <f t="shared" si="247"/>
        <v>69930.353297633803</v>
      </c>
      <c r="D183" s="2">
        <f t="shared" si="247"/>
        <v>71328.960363586477</v>
      </c>
      <c r="E183" s="2">
        <f t="shared" si="247"/>
        <v>72755.539570858207</v>
      </c>
      <c r="F183" s="2">
        <f>E183*1.02-5000</f>
        <v>69210.650362275366</v>
      </c>
      <c r="G183" s="2">
        <f t="shared" ref="G183:L183" si="248">F183*1.02</f>
        <v>70594.86336952087</v>
      </c>
      <c r="H183" s="2">
        <f t="shared" si="248"/>
        <v>72006.760636911291</v>
      </c>
      <c r="I183" s="2">
        <f t="shared" si="248"/>
        <v>73446.895849649518</v>
      </c>
      <c r="J183" s="2">
        <f t="shared" si="248"/>
        <v>74915.833766642507</v>
      </c>
      <c r="K183" s="2">
        <f t="shared" si="248"/>
        <v>76414.150441975362</v>
      </c>
      <c r="L183" s="2">
        <f t="shared" si="248"/>
        <v>77942.433450814875</v>
      </c>
      <c r="M183" s="2">
        <f t="shared" si="240"/>
        <v>77942.433450814875</v>
      </c>
    </row>
    <row r="184" spans="1:14" x14ac:dyDescent="0.25">
      <c r="A184" s="2">
        <f t="shared" si="238"/>
        <v>65896.933775125901</v>
      </c>
      <c r="B184" s="2">
        <f t="shared" ref="B184:F184" si="249">A184*1.02</f>
        <v>67214.87245062842</v>
      </c>
      <c r="C184" s="2">
        <f t="shared" si="249"/>
        <v>68559.169899640983</v>
      </c>
      <c r="D184" s="2">
        <f t="shared" si="249"/>
        <v>69930.353297633803</v>
      </c>
      <c r="E184" s="2">
        <f t="shared" si="249"/>
        <v>71328.960363586477</v>
      </c>
      <c r="F184" s="2">
        <f t="shared" si="249"/>
        <v>72755.539570858207</v>
      </c>
      <c r="G184" s="2">
        <f>F184*1.02-5000</f>
        <v>69210.650362275366</v>
      </c>
      <c r="H184" s="2">
        <f t="shared" ref="H184:L184" si="250">G184*1.02</f>
        <v>70594.86336952087</v>
      </c>
      <c r="I184" s="2">
        <f t="shared" si="250"/>
        <v>72006.760636911291</v>
      </c>
      <c r="J184" s="2">
        <f t="shared" si="250"/>
        <v>73446.895849649518</v>
      </c>
      <c r="K184" s="2">
        <f t="shared" si="250"/>
        <v>74915.833766642507</v>
      </c>
      <c r="L184" s="2">
        <f t="shared" si="250"/>
        <v>76414.150441975362</v>
      </c>
      <c r="M184" s="2">
        <f t="shared" si="240"/>
        <v>76414.150441975362</v>
      </c>
    </row>
    <row r="185" spans="1:14" x14ac:dyDescent="0.25">
      <c r="A185" s="2">
        <f t="shared" si="238"/>
        <v>64604.837034437151</v>
      </c>
      <c r="B185" s="2">
        <f t="shared" ref="B185:G185" si="251">A185*1.02</f>
        <v>65896.933775125901</v>
      </c>
      <c r="C185" s="2">
        <f t="shared" si="251"/>
        <v>67214.87245062842</v>
      </c>
      <c r="D185" s="2">
        <f t="shared" si="251"/>
        <v>68559.169899640983</v>
      </c>
      <c r="E185" s="2">
        <f t="shared" si="251"/>
        <v>69930.353297633803</v>
      </c>
      <c r="F185" s="2">
        <f t="shared" si="251"/>
        <v>71328.960363586477</v>
      </c>
      <c r="G185" s="2">
        <f t="shared" si="251"/>
        <v>72755.539570858207</v>
      </c>
      <c r="H185" s="2">
        <f>G185*1.02-5000</f>
        <v>69210.650362275366</v>
      </c>
      <c r="I185" s="2">
        <f t="shared" ref="I185:L185" si="252">H185*1.02</f>
        <v>70594.86336952087</v>
      </c>
      <c r="J185" s="2">
        <f t="shared" si="252"/>
        <v>72006.760636911291</v>
      </c>
      <c r="K185" s="2">
        <f t="shared" si="252"/>
        <v>73446.895849649518</v>
      </c>
      <c r="L185" s="2">
        <f t="shared" si="252"/>
        <v>74915.833766642507</v>
      </c>
      <c r="M185" s="2">
        <f t="shared" si="240"/>
        <v>74915.833766642507</v>
      </c>
    </row>
    <row r="186" spans="1:14" x14ac:dyDescent="0.25">
      <c r="A186" s="2">
        <f t="shared" si="238"/>
        <v>63338.075523957988</v>
      </c>
      <c r="B186" s="2">
        <f t="shared" ref="B186:H186" si="253">A186*1.02</f>
        <v>64604.837034437151</v>
      </c>
      <c r="C186" s="2">
        <f t="shared" si="253"/>
        <v>65896.933775125901</v>
      </c>
      <c r="D186" s="2">
        <f t="shared" si="253"/>
        <v>67214.87245062842</v>
      </c>
      <c r="E186" s="2">
        <f t="shared" si="253"/>
        <v>68559.169899640983</v>
      </c>
      <c r="F186" s="2">
        <f t="shared" si="253"/>
        <v>69930.353297633803</v>
      </c>
      <c r="G186" s="2">
        <f t="shared" si="253"/>
        <v>71328.960363586477</v>
      </c>
      <c r="H186" s="2">
        <f t="shared" si="253"/>
        <v>72755.539570858207</v>
      </c>
      <c r="I186" s="2">
        <f>H186*1.02-5000</f>
        <v>69210.650362275366</v>
      </c>
      <c r="J186" s="2">
        <f t="shared" ref="J186:L186" si="254">I186*1.02</f>
        <v>70594.86336952087</v>
      </c>
      <c r="K186" s="2">
        <f t="shared" si="254"/>
        <v>72006.760636911291</v>
      </c>
      <c r="L186" s="2">
        <f t="shared" si="254"/>
        <v>73446.895849649518</v>
      </c>
      <c r="M186" s="2">
        <f t="shared" si="240"/>
        <v>73446.895849649518</v>
      </c>
    </row>
    <row r="187" spans="1:14" x14ac:dyDescent="0.25">
      <c r="A187" s="2">
        <f t="shared" si="238"/>
        <v>62096.152474468618</v>
      </c>
      <c r="B187" s="2">
        <f t="shared" ref="B187:I187" si="255">A187*1.02</f>
        <v>63338.075523957988</v>
      </c>
      <c r="C187" s="2">
        <f t="shared" si="255"/>
        <v>64604.837034437151</v>
      </c>
      <c r="D187" s="2">
        <f t="shared" si="255"/>
        <v>65896.933775125901</v>
      </c>
      <c r="E187" s="2">
        <f t="shared" si="255"/>
        <v>67214.87245062842</v>
      </c>
      <c r="F187" s="2">
        <f t="shared" si="255"/>
        <v>68559.169899640983</v>
      </c>
      <c r="G187" s="2">
        <f t="shared" si="255"/>
        <v>69930.353297633803</v>
      </c>
      <c r="H187" s="2">
        <f t="shared" si="255"/>
        <v>71328.960363586477</v>
      </c>
      <c r="I187" s="2">
        <f t="shared" si="255"/>
        <v>72755.539570858207</v>
      </c>
      <c r="J187" s="2">
        <f>I187*1.02-5000</f>
        <v>69210.650362275366</v>
      </c>
      <c r="K187" s="2">
        <f t="shared" ref="K187:L187" si="256">J187*1.02</f>
        <v>70594.86336952087</v>
      </c>
      <c r="L187" s="2">
        <f t="shared" si="256"/>
        <v>72006.760636911291</v>
      </c>
      <c r="M187" s="2">
        <f t="shared" si="240"/>
        <v>72006.760636911291</v>
      </c>
    </row>
    <row r="188" spans="1:14" x14ac:dyDescent="0.25">
      <c r="A188" s="2">
        <f t="shared" si="238"/>
        <v>60878.580857322173</v>
      </c>
      <c r="B188" s="2">
        <f t="shared" ref="B188:J188" si="257">A188*1.02</f>
        <v>62096.152474468618</v>
      </c>
      <c r="C188" s="2">
        <f t="shared" si="257"/>
        <v>63338.075523957988</v>
      </c>
      <c r="D188" s="2">
        <f t="shared" si="257"/>
        <v>64604.837034437151</v>
      </c>
      <c r="E188" s="2">
        <f t="shared" si="257"/>
        <v>65896.933775125901</v>
      </c>
      <c r="F188" s="2">
        <f t="shared" si="257"/>
        <v>67214.87245062842</v>
      </c>
      <c r="G188" s="2">
        <f t="shared" si="257"/>
        <v>68559.169899640983</v>
      </c>
      <c r="H188" s="2">
        <f t="shared" si="257"/>
        <v>69930.353297633803</v>
      </c>
      <c r="I188" s="2">
        <f t="shared" si="257"/>
        <v>71328.960363586477</v>
      </c>
      <c r="J188" s="2">
        <f t="shared" si="257"/>
        <v>72755.539570858207</v>
      </c>
      <c r="K188" s="2">
        <f>J188*1.02-5000</f>
        <v>69210.650362275366</v>
      </c>
      <c r="L188" s="2">
        <f t="shared" ref="L188" si="258">K188*1.02</f>
        <v>70594.86336952087</v>
      </c>
      <c r="M188" s="2">
        <f t="shared" si="240"/>
        <v>70594.86336952087</v>
      </c>
    </row>
    <row r="189" spans="1:14" x14ac:dyDescent="0.25">
      <c r="A189" s="2">
        <f t="shared" si="238"/>
        <v>59684.883193453112</v>
      </c>
      <c r="B189" s="2">
        <f t="shared" ref="B189:K189" si="259">A189*1.02</f>
        <v>60878.580857322173</v>
      </c>
      <c r="C189" s="2">
        <f t="shared" si="259"/>
        <v>62096.152474468618</v>
      </c>
      <c r="D189" s="2">
        <f t="shared" si="259"/>
        <v>63338.075523957988</v>
      </c>
      <c r="E189" s="2">
        <f t="shared" si="259"/>
        <v>64604.837034437151</v>
      </c>
      <c r="F189" s="2">
        <f t="shared" si="259"/>
        <v>65896.933775125901</v>
      </c>
      <c r="G189" s="2">
        <f t="shared" si="259"/>
        <v>67214.87245062842</v>
      </c>
      <c r="H189" s="2">
        <f t="shared" si="259"/>
        <v>68559.169899640983</v>
      </c>
      <c r="I189" s="2">
        <f t="shared" si="259"/>
        <v>69930.353297633803</v>
      </c>
      <c r="J189" s="2">
        <f t="shared" si="259"/>
        <v>71328.960363586477</v>
      </c>
      <c r="K189" s="2">
        <f t="shared" si="259"/>
        <v>72755.539570858207</v>
      </c>
      <c r="L189" s="2">
        <f>K189*1.02-5000</f>
        <v>69210.650362275366</v>
      </c>
      <c r="M189" s="2">
        <f t="shared" si="240"/>
        <v>69210.650362275366</v>
      </c>
    </row>
    <row r="190" spans="1:1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>
        <f>SUM(M178:M189)</f>
        <v>928259.45280088112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Integrata_AG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W8Admin</dc:creator>
  <cp:lastModifiedBy>W8Admin</cp:lastModifiedBy>
  <dcterms:created xsi:type="dcterms:W3CDTF">2019-12-09T11:41:43Z</dcterms:created>
  <dcterms:modified xsi:type="dcterms:W3CDTF">2019-12-11T12:26:40Z</dcterms:modified>
</cp:coreProperties>
</file>